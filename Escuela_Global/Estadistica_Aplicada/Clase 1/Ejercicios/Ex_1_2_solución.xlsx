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uarioNuevo\Downloads\"/>
    </mc:Choice>
  </mc:AlternateContent>
  <xr:revisionPtr revIDLastSave="0" documentId="13_ncr:9_{96ECC12D-E813-486A-B11A-BF43E2B6A032}" xr6:coauthVersionLast="47" xr6:coauthVersionMax="47" xr10:uidLastSave="{00000000-0000-0000-0000-000000000000}"/>
  <bookViews>
    <workbookView xWindow="-110" yWindow="-110" windowWidth="19420" windowHeight="10300" xr2:uid="{DF6134E3-9AA9-4351-9628-3611B5052648}"/>
  </bookViews>
  <sheets>
    <sheet name="Datos históricos de Credicorp (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" i="1" l="1"/>
  <c r="J7" i="1"/>
  <c r="J6" i="1"/>
  <c r="J5" i="1"/>
  <c r="F6" i="1"/>
  <c r="F5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</calcChain>
</file>

<file path=xl/sharedStrings.xml><?xml version="1.0" encoding="utf-8"?>
<sst xmlns="http://schemas.openxmlformats.org/spreadsheetml/2006/main" count="23" uniqueCount="23">
  <si>
    <t>Fecha</t>
  </si>
  <si>
    <t>Último</t>
  </si>
  <si>
    <t>Apertura</t>
  </si>
  <si>
    <t>Máximo</t>
  </si>
  <si>
    <t>Mínimo</t>
  </si>
  <si>
    <t>Vol.</t>
  </si>
  <si>
    <t>% var.</t>
  </si>
  <si>
    <t>1.43M</t>
  </si>
  <si>
    <t>1.58M</t>
  </si>
  <si>
    <t>1.21M</t>
  </si>
  <si>
    <t>1.05M</t>
  </si>
  <si>
    <t>1.33M</t>
  </si>
  <si>
    <t>1.12M</t>
  </si>
  <si>
    <t>1.15M</t>
  </si>
  <si>
    <t>Analisis Cuantitativo de las Acciones de Credicorp</t>
  </si>
  <si>
    <t>(En Dólares)</t>
  </si>
  <si>
    <t>Inicio</t>
  </si>
  <si>
    <t>Fin</t>
  </si>
  <si>
    <t>Rango</t>
  </si>
  <si>
    <t>Max</t>
  </si>
  <si>
    <t>Min</t>
  </si>
  <si>
    <t>Promedio</t>
  </si>
  <si>
    <t>Var Prom.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</si>
</sst>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.00\ &quot;K&quot;"/>
    <numFmt numFmtId="169" formatCode="#,##0.00_);_(#,##0_)\);&quot;-&quot;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0" fontId="0" fillId="0" borderId="0" xfId="0" applyNumberFormat="1"/>
    <xf numFmtId="0" fontId="16" fillId="0" borderId="0" xfId="0" applyFont="1"/>
    <xf numFmtId="0" fontId="18" fillId="0" borderId="0" xfId="0" applyFont="1"/>
    <xf numFmtId="0" fontId="0" fillId="0" borderId="13" xfId="0" applyBorder="1"/>
    <xf numFmtId="0" fontId="0" fillId="0" borderId="15" xfId="0" applyBorder="1"/>
    <xf numFmtId="0" fontId="16" fillId="0" borderId="14" xfId="0" applyFont="1" applyBorder="1"/>
    <xf numFmtId="0" fontId="16" fillId="0" borderId="12" xfId="0" applyFont="1" applyBorder="1"/>
    <xf numFmtId="14" fontId="16" fillId="0" borderId="11" xfId="0" applyNumberFormat="1" applyFont="1" applyBorder="1"/>
    <xf numFmtId="14" fontId="0" fillId="0" borderId="10" xfId="0" applyNumberFormat="1" applyFont="1" applyFill="1" applyBorder="1"/>
    <xf numFmtId="0" fontId="0" fillId="0" borderId="10" xfId="0" applyFont="1" applyFill="1" applyBorder="1"/>
    <xf numFmtId="165" fontId="0" fillId="0" borderId="10" xfId="0" applyNumberFormat="1" applyFont="1" applyFill="1" applyBorder="1"/>
    <xf numFmtId="10" fontId="0" fillId="0" borderId="10" xfId="0" applyNumberFormat="1" applyFont="1" applyFill="1" applyBorder="1"/>
    <xf numFmtId="14" fontId="0" fillId="0" borderId="0" xfId="0" applyNumberFormat="1" applyFont="1" applyFill="1" applyBorder="1"/>
    <xf numFmtId="0" fontId="0" fillId="0" borderId="0" xfId="0" applyFont="1" applyFill="1" applyBorder="1"/>
    <xf numFmtId="165" fontId="0" fillId="0" borderId="0" xfId="0" applyNumberFormat="1" applyFont="1" applyFill="1" applyBorder="1"/>
    <xf numFmtId="10" fontId="0" fillId="0" borderId="0" xfId="0" applyNumberFormat="1" applyFont="1" applyFill="1" applyBorder="1"/>
    <xf numFmtId="0" fontId="19" fillId="0" borderId="16" xfId="0" applyFont="1" applyFill="1" applyBorder="1"/>
    <xf numFmtId="169" fontId="20" fillId="0" borderId="11" xfId="0" applyNumberFormat="1" applyFont="1" applyBorder="1"/>
    <xf numFmtId="10" fontId="20" fillId="0" borderId="11" xfId="1" applyNumberFormat="1" applyFont="1" applyBorder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12"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.00\ &quot;K&quot;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7B9E73-01F1-4F45-9E1A-E249F7665D53}" name="BAP_Data_Raw" displayName="BAP_Data_Raw" ref="D12:K432" totalsRowShown="0" headerRowDxfId="1" dataDxfId="2" headerRowBorderDxfId="0" tableBorderDxfId="11">
  <autoFilter ref="D12:K432" xr:uid="{817B9E73-01F1-4F45-9E1A-E249F7665D53}"/>
  <tableColumns count="8">
    <tableColumn id="1" xr3:uid="{AFF88A19-0E5F-4563-9FE5-DA005987D00B}" name="Fecha" dataDxfId="10"/>
    <tableColumn id="2" xr3:uid="{9C469E1F-7D5C-49D4-ACFD-51536AEF4E28}" name="Último" dataDxfId="9"/>
    <tableColumn id="3" xr3:uid="{A7406CF6-85B6-4DFF-ABBC-AB6756728852}" name="Apertura" dataDxfId="8"/>
    <tableColumn id="4" xr3:uid="{445E1350-4312-4699-9D40-184A47B40ADB}" name="Máximo" dataDxfId="7"/>
    <tableColumn id="5" xr3:uid="{3CFAEC9C-F4EF-47AB-93AE-AA1B3340CCBA}" name="Mínimo" dataDxfId="6"/>
    <tableColumn id="6" xr3:uid="{597CF870-9C46-4A83-A7C7-5196B7782820}" name="Vol." dataDxfId="5"/>
    <tableColumn id="7" xr3:uid="{38B6A1E1-4505-47A9-AD30-18F92522EF97}" name="% var." dataDxfId="4"/>
    <tableColumn id="8" xr3:uid="{ACADEE43-999B-4088-9194-4DABEF57B676}" name="Rango" dataDxfId="3">
      <calculatedColumnFormula>'Datos históricos de Credicorp ('!$F13-'Datos históricos de Credicorp ('!$G13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ADB05-D710-45C3-A984-75F81DA5534A}">
  <dimension ref="C2:M432"/>
  <sheetViews>
    <sheetView showGridLines="0" tabSelected="1" zoomScale="85" zoomScaleNormal="85" workbookViewId="0"/>
  </sheetViews>
  <sheetFormatPr baseColWidth="10" defaultRowHeight="14.5" outlineLevelRow="1" x14ac:dyDescent="0.35"/>
  <cols>
    <col min="1" max="2" width="3.6328125" customWidth="1"/>
    <col min="3" max="3" width="2.6328125" customWidth="1"/>
  </cols>
  <sheetData>
    <row r="2" spans="3:13" x14ac:dyDescent="0.35">
      <c r="C2" s="2" t="s">
        <v>14</v>
      </c>
    </row>
    <row r="3" spans="3:13" x14ac:dyDescent="0.35">
      <c r="C3" s="3" t="s">
        <v>15</v>
      </c>
    </row>
    <row r="5" spans="3:13" x14ac:dyDescent="0.35">
      <c r="D5" s="6" t="s">
        <v>16</v>
      </c>
      <c r="E5" s="5"/>
      <c r="F5" s="8">
        <f>MIN('Datos históricos de Credicorp ('!$D$12:$D$432)</f>
        <v>45659</v>
      </c>
      <c r="H5" s="6" t="s">
        <v>19</v>
      </c>
      <c r="I5" s="5"/>
      <c r="J5" s="18">
        <f>MAX(BAP_Data_Raw[[#All],[Último]])</f>
        <v>402.27</v>
      </c>
    </row>
    <row r="6" spans="3:13" x14ac:dyDescent="0.35">
      <c r="D6" s="7" t="s">
        <v>17</v>
      </c>
      <c r="E6" s="4"/>
      <c r="F6" s="8">
        <f>MAX('Datos históricos de Credicorp ('!$D$12:$D$432)</f>
        <v>46269</v>
      </c>
      <c r="H6" s="6" t="s">
        <v>20</v>
      </c>
      <c r="I6" s="5"/>
      <c r="J6" s="18">
        <f>MIN(BAP_Data_Raw[[#All],[Último]])</f>
        <v>169.89</v>
      </c>
    </row>
    <row r="7" spans="3:13" x14ac:dyDescent="0.35">
      <c r="H7" s="6" t="s">
        <v>21</v>
      </c>
      <c r="I7" s="5"/>
      <c r="J7" s="18">
        <f>AVERAGE(BAP_Data_Raw[[#All],[Último]])</f>
        <v>276.71721428571414</v>
      </c>
    </row>
    <row r="8" spans="3:13" x14ac:dyDescent="0.35">
      <c r="H8" s="6" t="s">
        <v>22</v>
      </c>
      <c r="I8" s="5"/>
      <c r="J8" s="19">
        <f>AVERAGE(BAP_Data_Raw[% var.])</f>
        <v>1.9433333333333336E-3</v>
      </c>
    </row>
    <row r="12" spans="3:13" outlineLevel="1" x14ac:dyDescent="0.35">
      <c r="D12" s="17" t="s">
        <v>0</v>
      </c>
      <c r="E12" s="17" t="s">
        <v>1</v>
      </c>
      <c r="F12" s="17" t="s">
        <v>2</v>
      </c>
      <c r="G12" s="17" t="s">
        <v>3</v>
      </c>
      <c r="H12" s="17" t="s">
        <v>4</v>
      </c>
      <c r="I12" s="17" t="s">
        <v>5</v>
      </c>
      <c r="J12" s="17" t="s">
        <v>6</v>
      </c>
      <c r="K12" s="17" t="s">
        <v>18</v>
      </c>
    </row>
    <row r="13" spans="3:13" outlineLevel="1" x14ac:dyDescent="0.35">
      <c r="D13" s="13">
        <v>46269</v>
      </c>
      <c r="E13" s="14">
        <v>382.53</v>
      </c>
      <c r="F13" s="14">
        <v>380.33</v>
      </c>
      <c r="G13" s="14">
        <v>385.26</v>
      </c>
      <c r="H13" s="14">
        <v>380.12</v>
      </c>
      <c r="I13" s="15">
        <v>149.37</v>
      </c>
      <c r="J13" s="16">
        <v>-4.3E-3</v>
      </c>
      <c r="K13" s="14">
        <f>'Datos históricos de Credicorp ('!$F13-'Datos históricos de Credicorp ('!$G13</f>
        <v>-4.9300000000000068</v>
      </c>
    </row>
    <row r="14" spans="3:13" outlineLevel="1" x14ac:dyDescent="0.35">
      <c r="D14" s="9">
        <v>46268</v>
      </c>
      <c r="E14" s="10">
        <v>384.19</v>
      </c>
      <c r="F14" s="10">
        <v>382.06</v>
      </c>
      <c r="G14" s="10">
        <v>386.2</v>
      </c>
      <c r="H14" s="10">
        <v>377.71</v>
      </c>
      <c r="I14" s="11">
        <v>215.16</v>
      </c>
      <c r="J14" s="12">
        <v>1.2200000000000001E-2</v>
      </c>
      <c r="K14" s="10">
        <f>'Datos históricos de Credicorp ('!$F14-'Datos históricos de Credicorp ('!$G14</f>
        <v>-4.1399999999999864</v>
      </c>
      <c r="M14" s="1"/>
    </row>
    <row r="15" spans="3:13" outlineLevel="1" x14ac:dyDescent="0.35">
      <c r="D15" s="9">
        <v>46267</v>
      </c>
      <c r="E15" s="10">
        <v>379.56</v>
      </c>
      <c r="F15" s="10">
        <v>374.93</v>
      </c>
      <c r="G15" s="10">
        <v>383.8</v>
      </c>
      <c r="H15" s="10">
        <v>372.52</v>
      </c>
      <c r="I15" s="11">
        <v>278.60000000000002</v>
      </c>
      <c r="J15" s="12">
        <v>1.89E-2</v>
      </c>
      <c r="K15" s="10">
        <f>'Datos históricos de Credicorp ('!$F15-'Datos históricos de Credicorp ('!$G15</f>
        <v>-8.8700000000000045</v>
      </c>
    </row>
    <row r="16" spans="3:13" outlineLevel="1" x14ac:dyDescent="0.35">
      <c r="D16" s="9">
        <v>46266</v>
      </c>
      <c r="E16" s="10">
        <v>372.52</v>
      </c>
      <c r="F16" s="10">
        <v>366.02</v>
      </c>
      <c r="G16" s="10">
        <v>374.36</v>
      </c>
      <c r="H16" s="10">
        <v>364.49</v>
      </c>
      <c r="I16" s="11">
        <v>293.93</v>
      </c>
      <c r="J16" s="12">
        <v>1.6799999999999999E-2</v>
      </c>
      <c r="K16" s="10">
        <f>'Datos históricos de Credicorp ('!$F16-'Datos históricos de Credicorp ('!$G16</f>
        <v>-8.3400000000000318</v>
      </c>
    </row>
    <row r="17" spans="4:11" outlineLevel="1" x14ac:dyDescent="0.35">
      <c r="D17" s="9">
        <v>46265</v>
      </c>
      <c r="E17" s="10">
        <v>366.38</v>
      </c>
      <c r="F17" s="10">
        <v>372.48</v>
      </c>
      <c r="G17" s="10">
        <v>373.47</v>
      </c>
      <c r="H17" s="10">
        <v>365.65</v>
      </c>
      <c r="I17" s="11">
        <v>389.09</v>
      </c>
      <c r="J17" s="12">
        <v>-5.4999999999999997E-3</v>
      </c>
      <c r="K17" s="10">
        <f>'Datos históricos de Credicorp ('!$F17-'Datos históricos de Credicorp ('!$G17</f>
        <v>-0.99000000000000909</v>
      </c>
    </row>
    <row r="18" spans="4:11" outlineLevel="1" x14ac:dyDescent="0.35">
      <c r="D18" s="9">
        <v>46262</v>
      </c>
      <c r="E18" s="10">
        <v>368.4</v>
      </c>
      <c r="F18" s="10">
        <v>377.79</v>
      </c>
      <c r="G18" s="10">
        <v>377.79</v>
      </c>
      <c r="H18" s="10">
        <v>367.96</v>
      </c>
      <c r="I18" s="11">
        <v>554.79999999999995</v>
      </c>
      <c r="J18" s="12">
        <v>-1.29E-2</v>
      </c>
      <c r="K18" s="10">
        <f>'Datos históricos de Credicorp ('!$F18-'Datos históricos de Credicorp ('!$G18</f>
        <v>0</v>
      </c>
    </row>
    <row r="19" spans="4:11" outlineLevel="1" x14ac:dyDescent="0.35">
      <c r="D19" s="9">
        <v>46261</v>
      </c>
      <c r="E19" s="10">
        <v>373.2</v>
      </c>
      <c r="F19" s="10">
        <v>380.99</v>
      </c>
      <c r="G19" s="10">
        <v>383.01</v>
      </c>
      <c r="H19" s="10">
        <v>372.09</v>
      </c>
      <c r="I19" s="11">
        <v>310.58</v>
      </c>
      <c r="J19" s="12">
        <v>-2.4400000000000002E-2</v>
      </c>
      <c r="K19" s="10">
        <f>'Datos históricos de Credicorp ('!$F19-'Datos históricos de Credicorp ('!$G19</f>
        <v>-2.0199999999999818</v>
      </c>
    </row>
    <row r="20" spans="4:11" outlineLevel="1" x14ac:dyDescent="0.35">
      <c r="D20" s="9">
        <v>46260</v>
      </c>
      <c r="E20" s="10">
        <v>382.55</v>
      </c>
      <c r="F20" s="10">
        <v>382.88</v>
      </c>
      <c r="G20" s="10">
        <v>385.97</v>
      </c>
      <c r="H20" s="10">
        <v>380.88</v>
      </c>
      <c r="I20" s="11">
        <v>240.57</v>
      </c>
      <c r="J20" s="12">
        <v>-2E-3</v>
      </c>
      <c r="K20" s="10">
        <f>'Datos históricos de Credicorp ('!$F20-'Datos históricos de Credicorp ('!$G20</f>
        <v>-3.0900000000000318</v>
      </c>
    </row>
    <row r="21" spans="4:11" outlineLevel="1" x14ac:dyDescent="0.35">
      <c r="D21" s="9">
        <v>46259</v>
      </c>
      <c r="E21" s="10">
        <v>383.3</v>
      </c>
      <c r="F21" s="10">
        <v>381.54</v>
      </c>
      <c r="G21" s="10">
        <v>383.69</v>
      </c>
      <c r="H21" s="10">
        <v>375.21</v>
      </c>
      <c r="I21" s="11">
        <v>214.64</v>
      </c>
      <c r="J21" s="12">
        <v>9.4000000000000004E-3</v>
      </c>
      <c r="K21" s="10">
        <f>'Datos históricos de Credicorp ('!$F21-'Datos históricos de Credicorp ('!$G21</f>
        <v>-2.1499999999999773</v>
      </c>
    </row>
    <row r="22" spans="4:11" outlineLevel="1" x14ac:dyDescent="0.35">
      <c r="D22" s="9">
        <v>46258</v>
      </c>
      <c r="E22" s="10">
        <v>379.74</v>
      </c>
      <c r="F22" s="10">
        <v>379.09</v>
      </c>
      <c r="G22" s="10">
        <v>381.54</v>
      </c>
      <c r="H22" s="10">
        <v>375.18</v>
      </c>
      <c r="I22" s="11">
        <v>199.26</v>
      </c>
      <c r="J22" s="12">
        <v>2E-3</v>
      </c>
      <c r="K22" s="10">
        <f>'Datos históricos de Credicorp ('!$F22-'Datos históricos de Credicorp ('!$G22</f>
        <v>-2.4500000000000455</v>
      </c>
    </row>
    <row r="23" spans="4:11" outlineLevel="1" x14ac:dyDescent="0.35">
      <c r="D23" s="9">
        <v>46255</v>
      </c>
      <c r="E23" s="10">
        <v>378.97</v>
      </c>
      <c r="F23" s="10">
        <v>375.09</v>
      </c>
      <c r="G23" s="10">
        <v>379.83</v>
      </c>
      <c r="H23" s="10">
        <v>373.72</v>
      </c>
      <c r="I23" s="11">
        <v>192.83</v>
      </c>
      <c r="J23" s="12">
        <v>2.3699999999999999E-2</v>
      </c>
      <c r="K23" s="10">
        <f>'Datos históricos de Credicorp ('!$F23-'Datos históricos de Credicorp ('!$G23</f>
        <v>-4.7400000000000091</v>
      </c>
    </row>
    <row r="24" spans="4:11" outlineLevel="1" x14ac:dyDescent="0.35">
      <c r="D24" s="9">
        <v>46254</v>
      </c>
      <c r="E24" s="10">
        <v>370.21</v>
      </c>
      <c r="F24" s="10">
        <v>368.14</v>
      </c>
      <c r="G24" s="10">
        <v>377.91</v>
      </c>
      <c r="H24" s="10">
        <v>368.14</v>
      </c>
      <c r="I24" s="11">
        <v>298.47000000000003</v>
      </c>
      <c r="J24" s="12">
        <v>3.3E-3</v>
      </c>
      <c r="K24" s="10">
        <f>'Datos históricos de Credicorp ('!$F24-'Datos históricos de Credicorp ('!$G24</f>
        <v>-9.7700000000000387</v>
      </c>
    </row>
    <row r="25" spans="4:11" outlineLevel="1" x14ac:dyDescent="0.35">
      <c r="D25" s="9">
        <v>46253</v>
      </c>
      <c r="E25" s="10">
        <v>368.98</v>
      </c>
      <c r="F25" s="10">
        <v>371.98</v>
      </c>
      <c r="G25" s="10">
        <v>380.37</v>
      </c>
      <c r="H25" s="10">
        <v>365.58</v>
      </c>
      <c r="I25" s="11">
        <v>258.14999999999998</v>
      </c>
      <c r="J25" s="12">
        <v>1.5E-3</v>
      </c>
      <c r="K25" s="10">
        <f>'Datos históricos de Credicorp ('!$F25-'Datos históricos de Credicorp ('!$G25</f>
        <v>-8.3899999999999864</v>
      </c>
    </row>
    <row r="26" spans="4:11" outlineLevel="1" x14ac:dyDescent="0.35">
      <c r="D26" s="9">
        <v>46252</v>
      </c>
      <c r="E26" s="10">
        <v>368.44</v>
      </c>
      <c r="F26" s="10">
        <v>376.21</v>
      </c>
      <c r="G26" s="10">
        <v>389.7</v>
      </c>
      <c r="H26" s="10">
        <v>365.78</v>
      </c>
      <c r="I26" s="11">
        <v>350.44</v>
      </c>
      <c r="J26" s="12">
        <v>-2.5999999999999999E-2</v>
      </c>
      <c r="K26" s="10">
        <f>'Datos históricos de Credicorp ('!$F26-'Datos históricos de Credicorp ('!$G26</f>
        <v>-13.490000000000009</v>
      </c>
    </row>
    <row r="27" spans="4:11" outlineLevel="1" x14ac:dyDescent="0.35">
      <c r="D27" s="9">
        <v>46251</v>
      </c>
      <c r="E27" s="10">
        <v>378.28</v>
      </c>
      <c r="F27" s="10">
        <v>385.23</v>
      </c>
      <c r="G27" s="10">
        <v>392.39</v>
      </c>
      <c r="H27" s="10">
        <v>375.51</v>
      </c>
      <c r="I27" s="11">
        <v>440.31</v>
      </c>
      <c r="J27" s="12">
        <v>-2.0899999999999998E-2</v>
      </c>
      <c r="K27" s="10">
        <f>'Datos históricos de Credicorp ('!$F27-'Datos históricos de Credicorp ('!$G27</f>
        <v>-7.1599999999999682</v>
      </c>
    </row>
    <row r="28" spans="4:11" outlineLevel="1" x14ac:dyDescent="0.35">
      <c r="D28" s="9">
        <v>46248</v>
      </c>
      <c r="E28" s="10">
        <v>386.36</v>
      </c>
      <c r="F28" s="10">
        <v>384.3</v>
      </c>
      <c r="G28" s="10">
        <v>392.16</v>
      </c>
      <c r="H28" s="10">
        <v>376</v>
      </c>
      <c r="I28" s="11">
        <v>455.4</v>
      </c>
      <c r="J28" s="12">
        <v>2.9899999999999999E-2</v>
      </c>
      <c r="K28" s="10">
        <f>'Datos históricos de Credicorp ('!$F28-'Datos históricos de Credicorp ('!$G28</f>
        <v>-7.8600000000000136</v>
      </c>
    </row>
    <row r="29" spans="4:11" outlineLevel="1" x14ac:dyDescent="0.35">
      <c r="D29" s="9">
        <v>46247</v>
      </c>
      <c r="E29" s="10">
        <v>375.14</v>
      </c>
      <c r="F29" s="10">
        <v>373.73</v>
      </c>
      <c r="G29" s="10">
        <v>379.43</v>
      </c>
      <c r="H29" s="10">
        <v>370.55</v>
      </c>
      <c r="I29" s="11">
        <v>339.31</v>
      </c>
      <c r="J29" s="12">
        <v>7.7999999999999996E-3</v>
      </c>
      <c r="K29" s="10">
        <f>'Datos históricos de Credicorp ('!$F29-'Datos históricos de Credicorp ('!$G29</f>
        <v>-5.6999999999999886</v>
      </c>
    </row>
    <row r="30" spans="4:11" outlineLevel="1" x14ac:dyDescent="0.35">
      <c r="D30" s="9">
        <v>46246</v>
      </c>
      <c r="E30" s="10">
        <v>372.22</v>
      </c>
      <c r="F30" s="10">
        <v>381.14</v>
      </c>
      <c r="G30" s="10">
        <v>384.43</v>
      </c>
      <c r="H30" s="10">
        <v>372.15</v>
      </c>
      <c r="I30" s="11">
        <v>273.8</v>
      </c>
      <c r="J30" s="12">
        <v>-1.2699999999999999E-2</v>
      </c>
      <c r="K30" s="10">
        <f>'Datos históricos de Credicorp ('!$F30-'Datos históricos de Credicorp ('!$G30</f>
        <v>-3.2900000000000205</v>
      </c>
    </row>
    <row r="31" spans="4:11" outlineLevel="1" x14ac:dyDescent="0.35">
      <c r="D31" s="9">
        <v>46245</v>
      </c>
      <c r="E31" s="10">
        <v>377</v>
      </c>
      <c r="F31" s="10">
        <v>385</v>
      </c>
      <c r="G31" s="10">
        <v>389</v>
      </c>
      <c r="H31" s="10">
        <v>374.69</v>
      </c>
      <c r="I31" s="11">
        <v>306.11</v>
      </c>
      <c r="J31" s="12">
        <v>-1.3599999999999999E-2</v>
      </c>
      <c r="K31" s="10">
        <f>'Datos históricos de Credicorp ('!$F31-'Datos históricos de Credicorp ('!$G31</f>
        <v>-4</v>
      </c>
    </row>
    <row r="32" spans="4:11" outlineLevel="1" x14ac:dyDescent="0.35">
      <c r="D32" s="9">
        <v>46244</v>
      </c>
      <c r="E32" s="10">
        <v>382.21</v>
      </c>
      <c r="F32" s="10">
        <v>384.74</v>
      </c>
      <c r="G32" s="10">
        <v>392.52</v>
      </c>
      <c r="H32" s="10">
        <v>381.67</v>
      </c>
      <c r="I32" s="11">
        <v>211.1</v>
      </c>
      <c r="J32" s="12">
        <v>-1.2200000000000001E-2</v>
      </c>
      <c r="K32" s="10">
        <f>'Datos históricos de Credicorp ('!$F32-'Datos históricos de Credicorp ('!$G32</f>
        <v>-7.7799999999999727</v>
      </c>
    </row>
    <row r="33" spans="4:11" outlineLevel="1" x14ac:dyDescent="0.35">
      <c r="D33" s="9">
        <v>46241</v>
      </c>
      <c r="E33" s="10">
        <v>386.93</v>
      </c>
      <c r="F33" s="10">
        <v>392.82</v>
      </c>
      <c r="G33" s="10">
        <v>396.02</v>
      </c>
      <c r="H33" s="10">
        <v>385.44</v>
      </c>
      <c r="I33" s="11">
        <v>210.28</v>
      </c>
      <c r="J33" s="12">
        <v>-1.44E-2</v>
      </c>
      <c r="K33" s="10">
        <f>'Datos históricos de Credicorp ('!$F33-'Datos históricos de Credicorp ('!$G33</f>
        <v>-3.1999999999999886</v>
      </c>
    </row>
    <row r="34" spans="4:11" outlineLevel="1" x14ac:dyDescent="0.35">
      <c r="D34" s="9">
        <v>46240</v>
      </c>
      <c r="E34" s="10">
        <v>392.57</v>
      </c>
      <c r="F34" s="10">
        <v>395.6</v>
      </c>
      <c r="G34" s="10">
        <v>399.26</v>
      </c>
      <c r="H34" s="10">
        <v>391.24</v>
      </c>
      <c r="I34" s="11">
        <v>168.02</v>
      </c>
      <c r="J34" s="12">
        <v>-5.7999999999999996E-3</v>
      </c>
      <c r="K34" s="10">
        <f>'Datos históricos de Credicorp ('!$F34-'Datos históricos de Credicorp ('!$G34</f>
        <v>-3.6599999999999682</v>
      </c>
    </row>
    <row r="35" spans="4:11" outlineLevel="1" x14ac:dyDescent="0.35">
      <c r="D35" s="9">
        <v>46239</v>
      </c>
      <c r="E35" s="10">
        <v>394.88</v>
      </c>
      <c r="F35" s="10">
        <v>391.49</v>
      </c>
      <c r="G35" s="10">
        <v>400.97</v>
      </c>
      <c r="H35" s="10">
        <v>391.49</v>
      </c>
      <c r="I35" s="11">
        <v>204.71</v>
      </c>
      <c r="J35" s="12">
        <v>7.0000000000000001E-3</v>
      </c>
      <c r="K35" s="10">
        <f>'Datos históricos de Credicorp ('!$F35-'Datos históricos de Credicorp ('!$G35</f>
        <v>-9.4800000000000182</v>
      </c>
    </row>
    <row r="36" spans="4:11" outlineLevel="1" x14ac:dyDescent="0.35">
      <c r="D36" s="9">
        <v>46238</v>
      </c>
      <c r="E36" s="10">
        <v>392.12</v>
      </c>
      <c r="F36" s="10">
        <v>393.67</v>
      </c>
      <c r="G36" s="10">
        <v>400.61</v>
      </c>
      <c r="H36" s="10">
        <v>390.79</v>
      </c>
      <c r="I36" s="11">
        <v>316.42</v>
      </c>
      <c r="J36" s="12">
        <v>-9.2999999999999992E-3</v>
      </c>
      <c r="K36" s="10">
        <f>'Datos históricos de Credicorp ('!$F36-'Datos históricos de Credicorp ('!$G36</f>
        <v>-6.9399999999999977</v>
      </c>
    </row>
    <row r="37" spans="4:11" outlineLevel="1" x14ac:dyDescent="0.35">
      <c r="D37" s="9">
        <v>46237</v>
      </c>
      <c r="E37" s="10">
        <v>395.79</v>
      </c>
      <c r="F37" s="10">
        <v>396.07</v>
      </c>
      <c r="G37" s="10">
        <v>401.93</v>
      </c>
      <c r="H37" s="10">
        <v>392.83</v>
      </c>
      <c r="I37" s="11">
        <v>269.81</v>
      </c>
      <c r="J37" s="12">
        <v>-1.2E-2</v>
      </c>
      <c r="K37" s="10">
        <f>'Datos históricos de Credicorp ('!$F37-'Datos históricos de Credicorp ('!$G37</f>
        <v>-5.8600000000000136</v>
      </c>
    </row>
    <row r="38" spans="4:11" outlineLevel="1" x14ac:dyDescent="0.35">
      <c r="D38" s="9">
        <v>46234</v>
      </c>
      <c r="E38" s="10">
        <v>400.58</v>
      </c>
      <c r="F38" s="10">
        <v>409.3</v>
      </c>
      <c r="G38" s="10">
        <v>413.24</v>
      </c>
      <c r="H38" s="10">
        <v>400.24</v>
      </c>
      <c r="I38" s="11">
        <v>349.1</v>
      </c>
      <c r="J38" s="12">
        <v>-4.1999999999999997E-3</v>
      </c>
      <c r="K38" s="10">
        <f>'Datos históricos de Credicorp ('!$F38-'Datos históricos de Credicorp ('!$G38</f>
        <v>-3.9399999999999977</v>
      </c>
    </row>
    <row r="39" spans="4:11" outlineLevel="1" x14ac:dyDescent="0.35">
      <c r="D39" s="9">
        <v>46233</v>
      </c>
      <c r="E39" s="10">
        <v>402.27</v>
      </c>
      <c r="F39" s="10">
        <v>390.09</v>
      </c>
      <c r="G39" s="10">
        <v>402.83</v>
      </c>
      <c r="H39" s="10">
        <v>390.09</v>
      </c>
      <c r="I39" s="11">
        <v>412.2</v>
      </c>
      <c r="J39" s="12">
        <v>4.7800000000000002E-2</v>
      </c>
      <c r="K39" s="10">
        <f>'Datos históricos de Credicorp ('!$F39-'Datos históricos de Credicorp ('!$G39</f>
        <v>-12.740000000000009</v>
      </c>
    </row>
    <row r="40" spans="4:11" outlineLevel="1" x14ac:dyDescent="0.35">
      <c r="D40" s="9">
        <v>46232</v>
      </c>
      <c r="E40" s="10">
        <v>383.93</v>
      </c>
      <c r="F40" s="10">
        <v>390.61</v>
      </c>
      <c r="G40" s="10">
        <v>391.88</v>
      </c>
      <c r="H40" s="10">
        <v>380.43</v>
      </c>
      <c r="I40" s="11">
        <v>201.18</v>
      </c>
      <c r="J40" s="12">
        <v>-1.29E-2</v>
      </c>
      <c r="K40" s="10">
        <f>'Datos históricos de Credicorp ('!$F40-'Datos históricos de Credicorp ('!$G40</f>
        <v>-1.2699999999999818</v>
      </c>
    </row>
    <row r="41" spans="4:11" outlineLevel="1" x14ac:dyDescent="0.35">
      <c r="D41" s="9">
        <v>46231</v>
      </c>
      <c r="E41" s="10">
        <v>388.95</v>
      </c>
      <c r="F41" s="10">
        <v>381.07</v>
      </c>
      <c r="G41" s="10">
        <v>393.18</v>
      </c>
      <c r="H41" s="10">
        <v>381.07</v>
      </c>
      <c r="I41" s="11">
        <v>199.64</v>
      </c>
      <c r="J41" s="12">
        <v>-5.1999999999999998E-3</v>
      </c>
      <c r="K41" s="10">
        <f>'Datos históricos de Credicorp ('!$F41-'Datos históricos de Credicorp ('!$G41</f>
        <v>-12.110000000000014</v>
      </c>
    </row>
    <row r="42" spans="4:11" outlineLevel="1" x14ac:dyDescent="0.35">
      <c r="D42" s="9">
        <v>46230</v>
      </c>
      <c r="E42" s="10">
        <v>390.99</v>
      </c>
      <c r="F42" s="10">
        <v>392.28</v>
      </c>
      <c r="G42" s="10">
        <v>395.59</v>
      </c>
      <c r="H42" s="10">
        <v>383.98</v>
      </c>
      <c r="I42" s="11">
        <v>175.56</v>
      </c>
      <c r="J42" s="12">
        <v>6.6E-3</v>
      </c>
      <c r="K42" s="10">
        <f>'Datos históricos de Credicorp ('!$F42-'Datos históricos de Credicorp ('!$G42</f>
        <v>-3.3100000000000023</v>
      </c>
    </row>
    <row r="43" spans="4:11" outlineLevel="1" x14ac:dyDescent="0.35">
      <c r="D43" s="9">
        <v>46227</v>
      </c>
      <c r="E43" s="10">
        <v>388.42</v>
      </c>
      <c r="F43" s="10">
        <v>391.52</v>
      </c>
      <c r="G43" s="10">
        <v>394.26</v>
      </c>
      <c r="H43" s="10">
        <v>386.06</v>
      </c>
      <c r="I43" s="11">
        <v>162.66999999999999</v>
      </c>
      <c r="J43" s="12">
        <v>2E-3</v>
      </c>
      <c r="K43" s="10">
        <f>'Datos históricos de Credicorp ('!$F43-'Datos históricos de Credicorp ('!$G43</f>
        <v>-2.7400000000000091</v>
      </c>
    </row>
    <row r="44" spans="4:11" outlineLevel="1" x14ac:dyDescent="0.35">
      <c r="D44" s="9">
        <v>46226</v>
      </c>
      <c r="E44" s="10">
        <v>387.63</v>
      </c>
      <c r="F44" s="10">
        <v>390.38</v>
      </c>
      <c r="G44" s="10">
        <v>393.02</v>
      </c>
      <c r="H44" s="10">
        <v>385.12</v>
      </c>
      <c r="I44" s="11">
        <v>169.77</v>
      </c>
      <c r="J44" s="12">
        <v>-1.5299999999999999E-2</v>
      </c>
      <c r="K44" s="10">
        <f>'Datos históricos de Credicorp ('!$F44-'Datos históricos de Credicorp ('!$G44</f>
        <v>-2.6399999999999864</v>
      </c>
    </row>
    <row r="45" spans="4:11" outlineLevel="1" x14ac:dyDescent="0.35">
      <c r="D45" s="9">
        <v>46225</v>
      </c>
      <c r="E45" s="10">
        <v>393.67</v>
      </c>
      <c r="F45" s="10">
        <v>391.61</v>
      </c>
      <c r="G45" s="10">
        <v>394.27</v>
      </c>
      <c r="H45" s="10">
        <v>386.2</v>
      </c>
      <c r="I45" s="11">
        <v>703.89</v>
      </c>
      <c r="J45" s="12">
        <v>6.6E-3</v>
      </c>
      <c r="K45" s="10">
        <f>'Datos históricos de Credicorp ('!$F45-'Datos históricos de Credicorp ('!$G45</f>
        <v>-2.6599999999999682</v>
      </c>
    </row>
    <row r="46" spans="4:11" outlineLevel="1" x14ac:dyDescent="0.35">
      <c r="D46" s="9">
        <v>46224</v>
      </c>
      <c r="E46" s="10">
        <v>391.1</v>
      </c>
      <c r="F46" s="10">
        <v>392.65</v>
      </c>
      <c r="G46" s="10">
        <v>396.15</v>
      </c>
      <c r="H46" s="10">
        <v>389.79</v>
      </c>
      <c r="I46" s="11">
        <v>280.49</v>
      </c>
      <c r="J46" s="12">
        <v>1.0999999999999999E-2</v>
      </c>
      <c r="K46" s="10">
        <f>'Datos históricos de Credicorp ('!$F46-'Datos históricos de Credicorp ('!$G46</f>
        <v>-3.5</v>
      </c>
    </row>
    <row r="47" spans="4:11" outlineLevel="1" x14ac:dyDescent="0.35">
      <c r="D47" s="9">
        <v>46223</v>
      </c>
      <c r="E47" s="10">
        <v>386.85</v>
      </c>
      <c r="F47" s="10">
        <v>390.44</v>
      </c>
      <c r="G47" s="10">
        <v>397.68</v>
      </c>
      <c r="H47" s="10">
        <v>386.11</v>
      </c>
      <c r="I47" s="11">
        <v>241.44</v>
      </c>
      <c r="J47" s="12">
        <v>-9.4999999999999998E-3</v>
      </c>
      <c r="K47" s="10">
        <f>'Datos históricos de Credicorp ('!$F47-'Datos históricos de Credicorp ('!$G47</f>
        <v>-7.2400000000000091</v>
      </c>
    </row>
    <row r="48" spans="4:11" outlineLevel="1" x14ac:dyDescent="0.35">
      <c r="D48" s="9">
        <v>46220</v>
      </c>
      <c r="E48" s="10">
        <v>390.58</v>
      </c>
      <c r="F48" s="10">
        <v>382</v>
      </c>
      <c r="G48" s="10">
        <v>393.38</v>
      </c>
      <c r="H48" s="10">
        <v>377.45</v>
      </c>
      <c r="I48" s="11">
        <v>253.39</v>
      </c>
      <c r="J48" s="12">
        <v>8.0999999999999996E-3</v>
      </c>
      <c r="K48" s="10">
        <f>'Datos históricos de Credicorp ('!$F48-'Datos históricos de Credicorp ('!$G48</f>
        <v>-11.379999999999995</v>
      </c>
    </row>
    <row r="49" spans="4:11" outlineLevel="1" x14ac:dyDescent="0.35">
      <c r="D49" s="9">
        <v>46219</v>
      </c>
      <c r="E49" s="10">
        <v>387.44</v>
      </c>
      <c r="F49" s="10">
        <v>392.4</v>
      </c>
      <c r="G49" s="10">
        <v>396.51</v>
      </c>
      <c r="H49" s="10">
        <v>387.08</v>
      </c>
      <c r="I49" s="11">
        <v>366.8</v>
      </c>
      <c r="J49" s="12">
        <v>-2.7E-2</v>
      </c>
      <c r="K49" s="10">
        <f>'Datos históricos de Credicorp ('!$F49-'Datos históricos de Credicorp ('!$G49</f>
        <v>-4.1100000000000136</v>
      </c>
    </row>
    <row r="50" spans="4:11" outlineLevel="1" x14ac:dyDescent="0.35">
      <c r="D50" s="9">
        <v>46218</v>
      </c>
      <c r="E50" s="10">
        <v>398.2</v>
      </c>
      <c r="F50" s="10">
        <v>393.64</v>
      </c>
      <c r="G50" s="10">
        <v>399.89</v>
      </c>
      <c r="H50" s="10">
        <v>392.09</v>
      </c>
      <c r="I50" s="11">
        <v>256.73</v>
      </c>
      <c r="J50" s="12">
        <v>1.52E-2</v>
      </c>
      <c r="K50" s="10">
        <f>'Datos históricos de Credicorp ('!$F50-'Datos históricos de Credicorp ('!$G50</f>
        <v>-6.25</v>
      </c>
    </row>
    <row r="51" spans="4:11" outlineLevel="1" x14ac:dyDescent="0.35">
      <c r="D51" s="9">
        <v>46217</v>
      </c>
      <c r="E51" s="10">
        <v>392.24</v>
      </c>
      <c r="F51" s="10">
        <v>394.24</v>
      </c>
      <c r="G51" s="10">
        <v>397.14</v>
      </c>
      <c r="H51" s="10">
        <v>389.7</v>
      </c>
      <c r="I51" s="11">
        <v>259.77999999999997</v>
      </c>
      <c r="J51" s="12">
        <v>7.7999999999999996E-3</v>
      </c>
      <c r="K51" s="10">
        <f>'Datos históricos de Credicorp ('!$F51-'Datos históricos de Credicorp ('!$G51</f>
        <v>-2.8999999999999773</v>
      </c>
    </row>
    <row r="52" spans="4:11" outlineLevel="1" x14ac:dyDescent="0.35">
      <c r="D52" s="9">
        <v>46216</v>
      </c>
      <c r="E52" s="10">
        <v>389.22</v>
      </c>
      <c r="F52" s="10">
        <v>401.21</v>
      </c>
      <c r="G52" s="10">
        <v>403.3</v>
      </c>
      <c r="H52" s="10">
        <v>387.8</v>
      </c>
      <c r="I52" s="11">
        <v>210.01</v>
      </c>
      <c r="J52" s="12">
        <v>-2.8899999999999999E-2</v>
      </c>
      <c r="K52" s="10">
        <f>'Datos históricos de Credicorp ('!$F52-'Datos históricos de Credicorp ('!$G52</f>
        <v>-2.0900000000000318</v>
      </c>
    </row>
    <row r="53" spans="4:11" outlineLevel="1" x14ac:dyDescent="0.35">
      <c r="D53" s="9">
        <v>46213</v>
      </c>
      <c r="E53" s="10">
        <v>400.81</v>
      </c>
      <c r="F53" s="10">
        <v>395.96</v>
      </c>
      <c r="G53" s="10">
        <v>402.19</v>
      </c>
      <c r="H53" s="10">
        <v>394.11</v>
      </c>
      <c r="I53" s="11">
        <v>205.21</v>
      </c>
      <c r="J53" s="12">
        <v>2.2700000000000001E-2</v>
      </c>
      <c r="K53" s="10">
        <f>'Datos históricos de Credicorp ('!$F53-'Datos históricos de Credicorp ('!$G53</f>
        <v>-6.2300000000000182</v>
      </c>
    </row>
    <row r="54" spans="4:11" outlineLevel="1" x14ac:dyDescent="0.35">
      <c r="D54" s="9">
        <v>46212</v>
      </c>
      <c r="E54" s="10">
        <v>391.92</v>
      </c>
      <c r="F54" s="10">
        <v>382.8</v>
      </c>
      <c r="G54" s="10">
        <v>394.74</v>
      </c>
      <c r="H54" s="10">
        <v>378.26</v>
      </c>
      <c r="I54" s="11">
        <v>323.73</v>
      </c>
      <c r="J54" s="12">
        <v>2.7400000000000001E-2</v>
      </c>
      <c r="K54" s="10">
        <f>'Datos históricos de Credicorp ('!$F54-'Datos históricos de Credicorp ('!$G54</f>
        <v>-11.939999999999998</v>
      </c>
    </row>
    <row r="55" spans="4:11" outlineLevel="1" x14ac:dyDescent="0.35">
      <c r="D55" s="9">
        <v>46211</v>
      </c>
      <c r="E55" s="10">
        <v>381.47</v>
      </c>
      <c r="F55" s="10">
        <v>384.54</v>
      </c>
      <c r="G55" s="10">
        <v>389.08</v>
      </c>
      <c r="H55" s="10">
        <v>376.59</v>
      </c>
      <c r="I55" s="11">
        <v>290.83</v>
      </c>
      <c r="J55" s="12">
        <v>-1.29E-2</v>
      </c>
      <c r="K55" s="10">
        <f>'Datos históricos de Credicorp ('!$F55-'Datos históricos de Credicorp ('!$G55</f>
        <v>-4.5399999999999636</v>
      </c>
    </row>
    <row r="56" spans="4:11" outlineLevel="1" x14ac:dyDescent="0.35">
      <c r="D56" s="9">
        <v>46210</v>
      </c>
      <c r="E56" s="10">
        <v>386.47</v>
      </c>
      <c r="F56" s="10">
        <v>389.6</v>
      </c>
      <c r="G56" s="10">
        <v>394</v>
      </c>
      <c r="H56" s="10">
        <v>385.86</v>
      </c>
      <c r="I56" s="11">
        <v>251.14</v>
      </c>
      <c r="J56" s="12">
        <v>-1.49E-2</v>
      </c>
      <c r="K56" s="10">
        <f>'Datos históricos de Credicorp ('!$F56-'Datos históricos de Credicorp ('!$G56</f>
        <v>-4.3999999999999773</v>
      </c>
    </row>
    <row r="57" spans="4:11" outlineLevel="1" x14ac:dyDescent="0.35">
      <c r="D57" s="9">
        <v>46209</v>
      </c>
      <c r="E57" s="10">
        <v>392.32</v>
      </c>
      <c r="F57" s="10">
        <v>395.52</v>
      </c>
      <c r="G57" s="10">
        <v>398.58</v>
      </c>
      <c r="H57" s="10">
        <v>389.46</v>
      </c>
      <c r="I57" s="11">
        <v>274.02999999999997</v>
      </c>
      <c r="J57" s="12">
        <v>2.8E-3</v>
      </c>
      <c r="K57" s="10">
        <f>'Datos históricos de Credicorp ('!$F57-'Datos históricos de Credicorp ('!$G57</f>
        <v>-3.0600000000000023</v>
      </c>
    </row>
    <row r="58" spans="4:11" outlineLevel="1" x14ac:dyDescent="0.35">
      <c r="D58" s="9">
        <v>46205</v>
      </c>
      <c r="E58" s="10">
        <v>391.21</v>
      </c>
      <c r="F58" s="10">
        <v>390.81</v>
      </c>
      <c r="G58" s="10">
        <v>396.38</v>
      </c>
      <c r="H58" s="10">
        <v>388.93</v>
      </c>
      <c r="I58" s="11">
        <v>245.17</v>
      </c>
      <c r="J58" s="12">
        <v>1.09E-2</v>
      </c>
      <c r="K58" s="10">
        <f>'Datos históricos de Credicorp ('!$F58-'Datos históricos de Credicorp ('!$G58</f>
        <v>-5.5699999999999932</v>
      </c>
    </row>
    <row r="59" spans="4:11" outlineLevel="1" x14ac:dyDescent="0.35">
      <c r="D59" s="9">
        <v>46204</v>
      </c>
      <c r="E59" s="10">
        <v>387</v>
      </c>
      <c r="F59" s="10">
        <v>386.47</v>
      </c>
      <c r="G59" s="10">
        <v>399.38</v>
      </c>
      <c r="H59" s="10">
        <v>384.25</v>
      </c>
      <c r="I59" s="11">
        <v>406.2</v>
      </c>
      <c r="J59" s="12">
        <v>-6.6E-3</v>
      </c>
      <c r="K59" s="10">
        <f>'Datos históricos de Credicorp ('!$F59-'Datos históricos de Credicorp ('!$G59</f>
        <v>-12.909999999999968</v>
      </c>
    </row>
    <row r="60" spans="4:11" outlineLevel="1" x14ac:dyDescent="0.35">
      <c r="D60" s="9">
        <v>46203</v>
      </c>
      <c r="E60" s="10">
        <v>389.58</v>
      </c>
      <c r="F60" s="10">
        <v>385</v>
      </c>
      <c r="G60" s="10">
        <v>394.26</v>
      </c>
      <c r="H60" s="10">
        <v>385</v>
      </c>
      <c r="I60" s="11">
        <v>380.81</v>
      </c>
      <c r="J60" s="12">
        <v>1.26E-2</v>
      </c>
      <c r="K60" s="10">
        <f>'Datos históricos de Credicorp ('!$F60-'Datos históricos de Credicorp ('!$G60</f>
        <v>-9.2599999999999909</v>
      </c>
    </row>
    <row r="61" spans="4:11" outlineLevel="1" x14ac:dyDescent="0.35">
      <c r="D61" s="9">
        <v>46202</v>
      </c>
      <c r="E61" s="10">
        <v>384.74</v>
      </c>
      <c r="F61" s="10">
        <v>381.57</v>
      </c>
      <c r="G61" s="10">
        <v>389.7</v>
      </c>
      <c r="H61" s="10">
        <v>379.59</v>
      </c>
      <c r="I61" s="11">
        <v>264.10000000000002</v>
      </c>
      <c r="J61" s="12">
        <v>1.6999999999999999E-3</v>
      </c>
      <c r="K61" s="10">
        <f>'Datos históricos de Credicorp ('!$F61-'Datos históricos de Credicorp ('!$G61</f>
        <v>-8.1299999999999955</v>
      </c>
    </row>
    <row r="62" spans="4:11" outlineLevel="1" x14ac:dyDescent="0.35">
      <c r="D62" s="9">
        <v>46199</v>
      </c>
      <c r="E62" s="10">
        <v>384.1</v>
      </c>
      <c r="F62" s="10">
        <v>380.82</v>
      </c>
      <c r="G62" s="10">
        <v>391.21</v>
      </c>
      <c r="H62" s="10">
        <v>380.01</v>
      </c>
      <c r="I62" s="11">
        <v>274.58</v>
      </c>
      <c r="J62" s="12">
        <v>9.7000000000000003E-3</v>
      </c>
      <c r="K62" s="10">
        <f>'Datos históricos de Credicorp ('!$F62-'Datos históricos de Credicorp ('!$G62</f>
        <v>-10.389999999999986</v>
      </c>
    </row>
    <row r="63" spans="4:11" outlineLevel="1" x14ac:dyDescent="0.35">
      <c r="D63" s="9">
        <v>46198</v>
      </c>
      <c r="E63" s="10">
        <v>380.41</v>
      </c>
      <c r="F63" s="10">
        <v>379.15</v>
      </c>
      <c r="G63" s="10">
        <v>390.19</v>
      </c>
      <c r="H63" s="10">
        <v>371.25</v>
      </c>
      <c r="I63" s="11">
        <v>435.41</v>
      </c>
      <c r="J63" s="12">
        <v>1.04E-2</v>
      </c>
      <c r="K63" s="10">
        <f>'Datos históricos de Credicorp ('!$F63-'Datos históricos de Credicorp ('!$G63</f>
        <v>-11.04000000000002</v>
      </c>
    </row>
    <row r="64" spans="4:11" outlineLevel="1" x14ac:dyDescent="0.35">
      <c r="D64" s="9">
        <v>46197</v>
      </c>
      <c r="E64" s="10">
        <v>376.49</v>
      </c>
      <c r="F64" s="10">
        <v>371.19</v>
      </c>
      <c r="G64" s="10">
        <v>385.64</v>
      </c>
      <c r="H64" s="10">
        <v>368.74</v>
      </c>
      <c r="I64" s="11">
        <v>491.54</v>
      </c>
      <c r="J64" s="12">
        <v>2.0899999999999998E-2</v>
      </c>
      <c r="K64" s="10">
        <f>'Datos históricos de Credicorp ('!$F64-'Datos históricos de Credicorp ('!$G64</f>
        <v>-14.449999999999989</v>
      </c>
    </row>
    <row r="65" spans="4:11" outlineLevel="1" x14ac:dyDescent="0.35">
      <c r="D65" s="9">
        <v>46196</v>
      </c>
      <c r="E65" s="10">
        <v>368.77</v>
      </c>
      <c r="F65" s="10">
        <v>375.35</v>
      </c>
      <c r="G65" s="10">
        <v>378.45</v>
      </c>
      <c r="H65" s="10">
        <v>368.53</v>
      </c>
      <c r="I65" s="11">
        <v>472.98</v>
      </c>
      <c r="J65" s="12">
        <v>-3.1E-2</v>
      </c>
      <c r="K65" s="10">
        <f>'Datos históricos de Credicorp ('!$F65-'Datos históricos de Credicorp ('!$G65</f>
        <v>-3.0999999999999659</v>
      </c>
    </row>
    <row r="66" spans="4:11" outlineLevel="1" x14ac:dyDescent="0.35">
      <c r="D66" s="9">
        <v>46195</v>
      </c>
      <c r="E66" s="10">
        <v>380.57</v>
      </c>
      <c r="F66" s="10">
        <v>383.09</v>
      </c>
      <c r="G66" s="10">
        <v>390</v>
      </c>
      <c r="H66" s="10">
        <v>378.48</v>
      </c>
      <c r="I66" s="11">
        <v>431.7</v>
      </c>
      <c r="J66" s="12">
        <v>-5.7000000000000002E-3</v>
      </c>
      <c r="K66" s="10">
        <f>'Datos históricos de Credicorp ('!$F66-'Datos históricos de Credicorp ('!$G66</f>
        <v>-6.910000000000025</v>
      </c>
    </row>
    <row r="67" spans="4:11" outlineLevel="1" x14ac:dyDescent="0.35">
      <c r="D67" s="9">
        <v>46191</v>
      </c>
      <c r="E67" s="10">
        <v>382.76</v>
      </c>
      <c r="F67" s="10">
        <v>398.52</v>
      </c>
      <c r="G67" s="10">
        <v>398.52</v>
      </c>
      <c r="H67" s="10">
        <v>380.57</v>
      </c>
      <c r="I67" s="11">
        <v>674.53</v>
      </c>
      <c r="J67" s="12">
        <v>-1.0800000000000001E-2</v>
      </c>
      <c r="K67" s="10">
        <f>'Datos históricos de Credicorp ('!$F67-'Datos históricos de Credicorp ('!$G67</f>
        <v>0</v>
      </c>
    </row>
    <row r="68" spans="4:11" outlineLevel="1" x14ac:dyDescent="0.35">
      <c r="D68" s="9">
        <v>46190</v>
      </c>
      <c r="E68" s="10">
        <v>386.94</v>
      </c>
      <c r="F68" s="10">
        <v>374.84</v>
      </c>
      <c r="G68" s="10">
        <v>396.03</v>
      </c>
      <c r="H68" s="10">
        <v>374.84</v>
      </c>
      <c r="I68" s="11">
        <v>568.79999999999995</v>
      </c>
      <c r="J68" s="12">
        <v>6.2199999999999998E-2</v>
      </c>
      <c r="K68" s="10">
        <f>'Datos históricos de Credicorp ('!$F68-'Datos históricos de Credicorp ('!$G68</f>
        <v>-21.189999999999998</v>
      </c>
    </row>
    <row r="69" spans="4:11" outlineLevel="1" x14ac:dyDescent="0.35">
      <c r="D69" s="9">
        <v>46189</v>
      </c>
      <c r="E69" s="10">
        <v>364.28</v>
      </c>
      <c r="F69" s="10">
        <v>365.28</v>
      </c>
      <c r="G69" s="10">
        <v>368.46</v>
      </c>
      <c r="H69" s="10">
        <v>361.26</v>
      </c>
      <c r="I69" s="11">
        <v>475.21</v>
      </c>
      <c r="J69" s="12">
        <v>5.4000000000000003E-3</v>
      </c>
      <c r="K69" s="10">
        <f>'Datos históricos de Credicorp ('!$F69-'Datos históricos de Credicorp ('!$G69</f>
        <v>-3.1800000000000068</v>
      </c>
    </row>
    <row r="70" spans="4:11" outlineLevel="1" x14ac:dyDescent="0.35">
      <c r="D70" s="9">
        <v>46188</v>
      </c>
      <c r="E70" s="10">
        <v>362.32</v>
      </c>
      <c r="F70" s="10">
        <v>369.67</v>
      </c>
      <c r="G70" s="10">
        <v>374.52</v>
      </c>
      <c r="H70" s="10">
        <v>359.33</v>
      </c>
      <c r="I70" s="11">
        <v>654.14</v>
      </c>
      <c r="J70" s="12">
        <v>-1.9599999999999999E-2</v>
      </c>
      <c r="K70" s="10">
        <f>'Datos históricos de Credicorp ('!$F70-'Datos históricos de Credicorp ('!$G70</f>
        <v>-4.8499999999999659</v>
      </c>
    </row>
    <row r="71" spans="4:11" outlineLevel="1" x14ac:dyDescent="0.35">
      <c r="D71" s="9">
        <v>46185</v>
      </c>
      <c r="E71" s="10">
        <v>369.55</v>
      </c>
      <c r="F71" s="10">
        <v>374.47</v>
      </c>
      <c r="G71" s="10">
        <v>376.77</v>
      </c>
      <c r="H71" s="10">
        <v>368.61</v>
      </c>
      <c r="I71" s="11">
        <v>309.11</v>
      </c>
      <c r="J71" s="12">
        <v>3.2000000000000002E-3</v>
      </c>
      <c r="K71" s="10">
        <f>'Datos históricos de Credicorp ('!$F71-'Datos históricos de Credicorp ('!$G71</f>
        <v>-2.2999999999999545</v>
      </c>
    </row>
    <row r="72" spans="4:11" outlineLevel="1" x14ac:dyDescent="0.35">
      <c r="D72" s="9">
        <v>46184</v>
      </c>
      <c r="E72" s="10">
        <v>368.38</v>
      </c>
      <c r="F72" s="10">
        <v>364.41</v>
      </c>
      <c r="G72" s="10">
        <v>374.84</v>
      </c>
      <c r="H72" s="10">
        <v>362.05</v>
      </c>
      <c r="I72" s="11">
        <v>730.19</v>
      </c>
      <c r="J72" s="12">
        <v>4.7500000000000001E-2</v>
      </c>
      <c r="K72" s="10">
        <f>'Datos históricos de Credicorp ('!$F72-'Datos históricos de Credicorp ('!$G72</f>
        <v>-10.42999999999995</v>
      </c>
    </row>
    <row r="73" spans="4:11" outlineLevel="1" x14ac:dyDescent="0.35">
      <c r="D73" s="9">
        <v>46183</v>
      </c>
      <c r="E73" s="10">
        <v>351.66</v>
      </c>
      <c r="F73" s="10">
        <v>346.84</v>
      </c>
      <c r="G73" s="10">
        <v>355.88</v>
      </c>
      <c r="H73" s="10">
        <v>343.41</v>
      </c>
      <c r="I73" s="11">
        <v>675.13</v>
      </c>
      <c r="J73" s="12">
        <v>5.8999999999999999E-3</v>
      </c>
      <c r="K73" s="10">
        <f>'Datos históricos de Credicorp ('!$F73-'Datos históricos de Credicorp ('!$G73</f>
        <v>-9.0400000000000205</v>
      </c>
    </row>
    <row r="74" spans="4:11" outlineLevel="1" x14ac:dyDescent="0.35">
      <c r="D74" s="9">
        <v>46182</v>
      </c>
      <c r="E74" s="10">
        <v>349.61</v>
      </c>
      <c r="F74" s="10">
        <v>341.7</v>
      </c>
      <c r="G74" s="10">
        <v>366.22</v>
      </c>
      <c r="H74" s="10">
        <v>339.09</v>
      </c>
      <c r="I74" s="11" t="s">
        <v>7</v>
      </c>
      <c r="J74" s="12">
        <v>9.2899999999999996E-2</v>
      </c>
      <c r="K74" s="10">
        <f>'Datos históricos de Credicorp ('!$F74-'Datos históricos de Credicorp ('!$G74</f>
        <v>-24.520000000000039</v>
      </c>
    </row>
    <row r="75" spans="4:11" outlineLevel="1" x14ac:dyDescent="0.35">
      <c r="D75" s="9">
        <v>46181</v>
      </c>
      <c r="E75" s="10">
        <v>319.89</v>
      </c>
      <c r="F75" s="10">
        <v>317.99</v>
      </c>
      <c r="G75" s="10">
        <v>320.98</v>
      </c>
      <c r="H75" s="10">
        <v>299</v>
      </c>
      <c r="I75" s="11" t="s">
        <v>8</v>
      </c>
      <c r="J75" s="12">
        <v>-8.0999999999999996E-3</v>
      </c>
      <c r="K75" s="10">
        <f>'Datos históricos de Credicorp ('!$F75-'Datos históricos de Credicorp ('!$G75</f>
        <v>-2.9900000000000091</v>
      </c>
    </row>
    <row r="76" spans="4:11" outlineLevel="1" x14ac:dyDescent="0.35">
      <c r="D76" s="9">
        <v>46178</v>
      </c>
      <c r="E76" s="10">
        <v>322.5</v>
      </c>
      <c r="F76" s="10">
        <v>322.37</v>
      </c>
      <c r="G76" s="10">
        <v>324.36</v>
      </c>
      <c r="H76" s="10">
        <v>310.75</v>
      </c>
      <c r="I76" s="11" t="s">
        <v>9</v>
      </c>
      <c r="J76" s="12">
        <v>-1.23E-2</v>
      </c>
      <c r="K76" s="10">
        <f>'Datos históricos de Credicorp ('!$F76-'Datos históricos de Credicorp ('!$G76</f>
        <v>-1.9900000000000091</v>
      </c>
    </row>
    <row r="77" spans="4:11" outlineLevel="1" x14ac:dyDescent="0.35">
      <c r="D77" s="9">
        <v>46177</v>
      </c>
      <c r="E77" s="10">
        <v>326.52999999999997</v>
      </c>
      <c r="F77" s="10">
        <v>330.5</v>
      </c>
      <c r="G77" s="10">
        <v>333.76</v>
      </c>
      <c r="H77" s="10">
        <v>325</v>
      </c>
      <c r="I77" s="11">
        <v>679.56</v>
      </c>
      <c r="J77" s="12">
        <v>-2.7000000000000001E-3</v>
      </c>
      <c r="K77" s="10">
        <f>'Datos históricos de Credicorp ('!$F77-'Datos históricos de Credicorp ('!$G77</f>
        <v>-3.2599999999999909</v>
      </c>
    </row>
    <row r="78" spans="4:11" outlineLevel="1" x14ac:dyDescent="0.35">
      <c r="D78" s="9">
        <v>46176</v>
      </c>
      <c r="E78" s="10">
        <v>327.42</v>
      </c>
      <c r="F78" s="10">
        <v>339.58</v>
      </c>
      <c r="G78" s="10">
        <v>343.31</v>
      </c>
      <c r="H78" s="10">
        <v>327.42</v>
      </c>
      <c r="I78" s="11">
        <v>822.15</v>
      </c>
      <c r="J78" s="12">
        <v>-4.8000000000000001E-2</v>
      </c>
      <c r="K78" s="10">
        <f>'Datos históricos de Credicorp ('!$F78-'Datos históricos de Credicorp ('!$G78</f>
        <v>-3.7300000000000182</v>
      </c>
    </row>
    <row r="79" spans="4:11" outlineLevel="1" x14ac:dyDescent="0.35">
      <c r="D79" s="9">
        <v>46175</v>
      </c>
      <c r="E79" s="10">
        <v>343.93</v>
      </c>
      <c r="F79" s="10">
        <v>340.58</v>
      </c>
      <c r="G79" s="10">
        <v>344.88</v>
      </c>
      <c r="H79" s="10">
        <v>337.18</v>
      </c>
      <c r="I79" s="11">
        <v>256.36</v>
      </c>
      <c r="J79" s="12">
        <v>9.9000000000000008E-3</v>
      </c>
      <c r="K79" s="10">
        <f>'Datos históricos de Credicorp ('!$F79-'Datos históricos de Credicorp ('!$G79</f>
        <v>-4.3000000000000114</v>
      </c>
    </row>
    <row r="80" spans="4:11" outlineLevel="1" x14ac:dyDescent="0.35">
      <c r="D80" s="9">
        <v>46174</v>
      </c>
      <c r="E80" s="10">
        <v>340.56</v>
      </c>
      <c r="F80" s="10">
        <v>339.55</v>
      </c>
      <c r="G80" s="10">
        <v>343.8</v>
      </c>
      <c r="H80" s="10">
        <v>335.75</v>
      </c>
      <c r="I80" s="11">
        <v>307.63</v>
      </c>
      <c r="J80" s="12">
        <v>-6.0000000000000001E-3</v>
      </c>
      <c r="K80" s="10">
        <f>'Datos históricos de Credicorp ('!$F80-'Datos históricos de Credicorp ('!$G80</f>
        <v>-4.25</v>
      </c>
    </row>
    <row r="81" spans="4:11" outlineLevel="1" x14ac:dyDescent="0.35">
      <c r="D81" s="9">
        <v>46171</v>
      </c>
      <c r="E81" s="10">
        <v>342.63</v>
      </c>
      <c r="F81" s="10">
        <v>340.79</v>
      </c>
      <c r="G81" s="10">
        <v>347.64</v>
      </c>
      <c r="H81" s="10">
        <v>337.67</v>
      </c>
      <c r="I81" s="11">
        <v>792.26</v>
      </c>
      <c r="J81" s="12">
        <v>3.3E-3</v>
      </c>
      <c r="K81" s="10">
        <f>'Datos históricos de Credicorp ('!$F81-'Datos históricos de Credicorp ('!$G81</f>
        <v>-6.8499999999999659</v>
      </c>
    </row>
    <row r="82" spans="4:11" outlineLevel="1" x14ac:dyDescent="0.35">
      <c r="D82" s="9">
        <v>46170</v>
      </c>
      <c r="E82" s="10">
        <v>341.5</v>
      </c>
      <c r="F82" s="10">
        <v>345.77</v>
      </c>
      <c r="G82" s="10">
        <v>345.77</v>
      </c>
      <c r="H82" s="10">
        <v>336.82</v>
      </c>
      <c r="I82" s="11">
        <v>684.97</v>
      </c>
      <c r="J82" s="12">
        <v>-1.9400000000000001E-2</v>
      </c>
      <c r="K82" s="10">
        <f>'Datos históricos de Credicorp ('!$F82-'Datos históricos de Credicorp ('!$G82</f>
        <v>0</v>
      </c>
    </row>
    <row r="83" spans="4:11" outlineLevel="1" x14ac:dyDescent="0.35">
      <c r="D83" s="9">
        <v>46169</v>
      </c>
      <c r="E83" s="10">
        <v>348.24</v>
      </c>
      <c r="F83" s="10">
        <v>351.24</v>
      </c>
      <c r="G83" s="10">
        <v>354.41</v>
      </c>
      <c r="H83" s="10">
        <v>343.08</v>
      </c>
      <c r="I83" s="11">
        <v>345.54</v>
      </c>
      <c r="J83" s="12">
        <v>-0.01</v>
      </c>
      <c r="K83" s="10">
        <f>'Datos históricos de Credicorp ('!$F83-'Datos históricos de Credicorp ('!$G83</f>
        <v>-3.1700000000000159</v>
      </c>
    </row>
    <row r="84" spans="4:11" outlineLevel="1" x14ac:dyDescent="0.35">
      <c r="D84" s="9">
        <v>46168</v>
      </c>
      <c r="E84" s="10">
        <v>351.75</v>
      </c>
      <c r="F84" s="10">
        <v>337.3</v>
      </c>
      <c r="G84" s="10">
        <v>353.61</v>
      </c>
      <c r="H84" s="10">
        <v>336.11</v>
      </c>
      <c r="I84" s="11">
        <v>309.55</v>
      </c>
      <c r="J84" s="12">
        <v>5.2200000000000003E-2</v>
      </c>
      <c r="K84" s="10">
        <f>'Datos históricos de Credicorp ('!$F84-'Datos históricos de Credicorp ('!$G84</f>
        <v>-16.310000000000002</v>
      </c>
    </row>
    <row r="85" spans="4:11" outlineLevel="1" x14ac:dyDescent="0.35">
      <c r="D85" s="9">
        <v>46164</v>
      </c>
      <c r="E85" s="10">
        <v>334.3</v>
      </c>
      <c r="F85" s="10">
        <v>344.48</v>
      </c>
      <c r="G85" s="10">
        <v>350</v>
      </c>
      <c r="H85" s="10">
        <v>332.55</v>
      </c>
      <c r="I85" s="11">
        <v>454.92</v>
      </c>
      <c r="J85" s="12">
        <v>-2.8199999999999999E-2</v>
      </c>
      <c r="K85" s="10">
        <f>'Datos históricos de Credicorp ('!$F85-'Datos históricos de Credicorp ('!$G85</f>
        <v>-5.5199999999999818</v>
      </c>
    </row>
    <row r="86" spans="4:11" outlineLevel="1" x14ac:dyDescent="0.35">
      <c r="D86" s="9">
        <v>46163</v>
      </c>
      <c r="E86" s="10">
        <v>344</v>
      </c>
      <c r="F86" s="10">
        <v>331.42</v>
      </c>
      <c r="G86" s="10">
        <v>345.77</v>
      </c>
      <c r="H86" s="10">
        <v>328.91</v>
      </c>
      <c r="I86" s="11">
        <v>531.80999999999995</v>
      </c>
      <c r="J86" s="12">
        <v>3.2199999999999999E-2</v>
      </c>
      <c r="K86" s="10">
        <f>'Datos históricos de Credicorp ('!$F86-'Datos históricos de Credicorp ('!$G86</f>
        <v>-14.349999999999966</v>
      </c>
    </row>
    <row r="87" spans="4:11" outlineLevel="1" x14ac:dyDescent="0.35">
      <c r="D87" s="9">
        <v>46162</v>
      </c>
      <c r="E87" s="10">
        <v>333.27</v>
      </c>
      <c r="F87" s="10">
        <v>313.37</v>
      </c>
      <c r="G87" s="10">
        <v>335.55</v>
      </c>
      <c r="H87" s="10">
        <v>313.37</v>
      </c>
      <c r="I87" s="11">
        <v>668.89</v>
      </c>
      <c r="J87" s="12">
        <v>5.5399999999999998E-2</v>
      </c>
      <c r="K87" s="10">
        <f>'Datos históricos de Credicorp ('!$F87-'Datos históricos de Credicorp ('!$G87</f>
        <v>-22.180000000000007</v>
      </c>
    </row>
    <row r="88" spans="4:11" outlineLevel="1" x14ac:dyDescent="0.35">
      <c r="D88" s="9">
        <v>46161</v>
      </c>
      <c r="E88" s="10">
        <v>315.79000000000002</v>
      </c>
      <c r="F88" s="10">
        <v>306.43</v>
      </c>
      <c r="G88" s="10">
        <v>316.57</v>
      </c>
      <c r="H88" s="10">
        <v>303.87</v>
      </c>
      <c r="I88" s="11">
        <v>648.77</v>
      </c>
      <c r="J88" s="12">
        <v>3.9300000000000002E-2</v>
      </c>
      <c r="K88" s="10">
        <f>'Datos históricos de Credicorp ('!$F88-'Datos históricos de Credicorp ('!$G88</f>
        <v>-10.139999999999986</v>
      </c>
    </row>
    <row r="89" spans="4:11" outlineLevel="1" x14ac:dyDescent="0.35">
      <c r="D89" s="9">
        <v>46160</v>
      </c>
      <c r="E89" s="10">
        <v>303.86</v>
      </c>
      <c r="F89" s="10">
        <v>302.08999999999997</v>
      </c>
      <c r="G89" s="10">
        <v>310.27999999999997</v>
      </c>
      <c r="H89" s="10">
        <v>300</v>
      </c>
      <c r="I89" s="11">
        <v>337.75</v>
      </c>
      <c r="J89" s="12">
        <v>-3.9399999999999998E-2</v>
      </c>
      <c r="K89" s="10">
        <f>'Datos históricos de Credicorp ('!$F89-'Datos históricos de Credicorp ('!$G89</f>
        <v>-8.1899999999999977</v>
      </c>
    </row>
    <row r="90" spans="4:11" outlineLevel="1" x14ac:dyDescent="0.35">
      <c r="D90" s="9">
        <v>46157</v>
      </c>
      <c r="E90" s="10">
        <v>316.31</v>
      </c>
      <c r="F90" s="10">
        <v>321.89999999999998</v>
      </c>
      <c r="G90" s="10">
        <v>338.86</v>
      </c>
      <c r="H90" s="10">
        <v>313.75</v>
      </c>
      <c r="I90" s="11">
        <v>667.96</v>
      </c>
      <c r="J90" s="12">
        <v>-3.4700000000000002E-2</v>
      </c>
      <c r="K90" s="10">
        <f>'Datos históricos de Credicorp ('!$F90-'Datos históricos de Credicorp ('!$G90</f>
        <v>-16.960000000000036</v>
      </c>
    </row>
    <row r="91" spans="4:11" outlineLevel="1" x14ac:dyDescent="0.35">
      <c r="D91" s="9">
        <v>46156</v>
      </c>
      <c r="E91" s="10">
        <v>327.69</v>
      </c>
      <c r="F91" s="10">
        <v>317.89</v>
      </c>
      <c r="G91" s="10">
        <v>329.02</v>
      </c>
      <c r="H91" s="10">
        <v>316</v>
      </c>
      <c r="I91" s="11">
        <v>576.46</v>
      </c>
      <c r="J91" s="12">
        <v>3.15E-2</v>
      </c>
      <c r="K91" s="10">
        <f>'Datos históricos de Credicorp ('!$F91-'Datos históricos de Credicorp ('!$G91</f>
        <v>-11.129999999999995</v>
      </c>
    </row>
    <row r="92" spans="4:11" outlineLevel="1" x14ac:dyDescent="0.35">
      <c r="D92" s="9">
        <v>46155</v>
      </c>
      <c r="E92" s="10">
        <v>317.68</v>
      </c>
      <c r="F92" s="10">
        <v>323.33</v>
      </c>
      <c r="G92" s="10">
        <v>324.74</v>
      </c>
      <c r="H92" s="10">
        <v>312</v>
      </c>
      <c r="I92" s="11">
        <v>503.15</v>
      </c>
      <c r="J92" s="12">
        <v>-1.9E-2</v>
      </c>
      <c r="K92" s="10">
        <f>'Datos históricos de Credicorp ('!$F92-'Datos históricos de Credicorp ('!$G92</f>
        <v>-1.410000000000025</v>
      </c>
    </row>
    <row r="93" spans="4:11" outlineLevel="1" x14ac:dyDescent="0.35">
      <c r="D93" s="9">
        <v>46154</v>
      </c>
      <c r="E93" s="10">
        <v>323.82</v>
      </c>
      <c r="F93" s="10">
        <v>319.5</v>
      </c>
      <c r="G93" s="10">
        <v>326.14</v>
      </c>
      <c r="H93" s="10">
        <v>317.58</v>
      </c>
      <c r="I93" s="11">
        <v>302.61</v>
      </c>
      <c r="J93" s="12">
        <v>4.3E-3</v>
      </c>
      <c r="K93" s="10">
        <f>'Datos históricos de Credicorp ('!$F93-'Datos históricos de Credicorp ('!$G93</f>
        <v>-6.6399999999999864</v>
      </c>
    </row>
    <row r="94" spans="4:11" outlineLevel="1" x14ac:dyDescent="0.35">
      <c r="D94" s="9">
        <v>46153</v>
      </c>
      <c r="E94" s="10">
        <v>322.42</v>
      </c>
      <c r="F94" s="10">
        <v>330.59</v>
      </c>
      <c r="G94" s="10">
        <v>333.13</v>
      </c>
      <c r="H94" s="10">
        <v>321.52999999999997</v>
      </c>
      <c r="I94" s="11">
        <v>318.33</v>
      </c>
      <c r="J94" s="12">
        <v>-2.4400000000000002E-2</v>
      </c>
      <c r="K94" s="10">
        <f>'Datos históricos de Credicorp ('!$F94-'Datos históricos de Credicorp ('!$G94</f>
        <v>-2.5400000000000205</v>
      </c>
    </row>
    <row r="95" spans="4:11" outlineLevel="1" x14ac:dyDescent="0.35">
      <c r="D95" s="9">
        <v>46150</v>
      </c>
      <c r="E95" s="10">
        <v>330.5</v>
      </c>
      <c r="F95" s="10">
        <v>326.60000000000002</v>
      </c>
      <c r="G95" s="10">
        <v>332.8</v>
      </c>
      <c r="H95" s="10">
        <v>323.75</v>
      </c>
      <c r="I95" s="11">
        <v>452.53</v>
      </c>
      <c r="J95" s="12">
        <v>2.7099999999999999E-2</v>
      </c>
      <c r="K95" s="10">
        <f>'Datos históricos de Credicorp ('!$F95-'Datos históricos de Credicorp ('!$G95</f>
        <v>-6.1999999999999886</v>
      </c>
    </row>
    <row r="96" spans="4:11" outlineLevel="1" x14ac:dyDescent="0.35">
      <c r="D96" s="9">
        <v>46149</v>
      </c>
      <c r="E96" s="10">
        <v>321.77</v>
      </c>
      <c r="F96" s="10">
        <v>325.2</v>
      </c>
      <c r="G96" s="10">
        <v>328.99</v>
      </c>
      <c r="H96" s="10">
        <v>319.17</v>
      </c>
      <c r="I96" s="11">
        <v>285.29000000000002</v>
      </c>
      <c r="J96" s="12">
        <v>-1.46E-2</v>
      </c>
      <c r="K96" s="10">
        <f>'Datos históricos de Credicorp ('!$F96-'Datos históricos de Credicorp ('!$G96</f>
        <v>-3.7900000000000205</v>
      </c>
    </row>
    <row r="97" spans="4:11" outlineLevel="1" x14ac:dyDescent="0.35">
      <c r="D97" s="9">
        <v>46148</v>
      </c>
      <c r="E97" s="10">
        <v>326.55</v>
      </c>
      <c r="F97" s="10">
        <v>325</v>
      </c>
      <c r="G97" s="10">
        <v>328.46</v>
      </c>
      <c r="H97" s="10">
        <v>317.94</v>
      </c>
      <c r="I97" s="11">
        <v>303.95</v>
      </c>
      <c r="J97" s="12">
        <v>2.5600000000000001E-2</v>
      </c>
      <c r="K97" s="10">
        <f>'Datos históricos de Credicorp ('!$F97-'Datos históricos de Credicorp ('!$G97</f>
        <v>-3.4599999999999795</v>
      </c>
    </row>
    <row r="98" spans="4:11" outlineLevel="1" x14ac:dyDescent="0.35">
      <c r="D98" s="9">
        <v>46147</v>
      </c>
      <c r="E98" s="10">
        <v>318.39999999999998</v>
      </c>
      <c r="F98" s="10">
        <v>322.2</v>
      </c>
      <c r="G98" s="10">
        <v>325.14</v>
      </c>
      <c r="H98" s="10">
        <v>317.29000000000002</v>
      </c>
      <c r="I98" s="11">
        <v>331.9</v>
      </c>
      <c r="J98" s="12">
        <v>-4.8999999999999998E-3</v>
      </c>
      <c r="K98" s="10">
        <f>'Datos históricos de Credicorp ('!$F98-'Datos históricos de Credicorp ('!$G98</f>
        <v>-2.9399999999999977</v>
      </c>
    </row>
    <row r="99" spans="4:11" outlineLevel="1" x14ac:dyDescent="0.35">
      <c r="D99" s="9">
        <v>46146</v>
      </c>
      <c r="E99" s="10">
        <v>319.98</v>
      </c>
      <c r="F99" s="10">
        <v>321.77999999999997</v>
      </c>
      <c r="G99" s="10">
        <v>324</v>
      </c>
      <c r="H99" s="10">
        <v>317.83</v>
      </c>
      <c r="I99" s="11">
        <v>194.27</v>
      </c>
      <c r="J99" s="12">
        <v>-6.1999999999999998E-3</v>
      </c>
      <c r="K99" s="10">
        <f>'Datos históricos de Credicorp ('!$F99-'Datos históricos de Credicorp ('!$G99</f>
        <v>-2.2200000000000273</v>
      </c>
    </row>
    <row r="100" spans="4:11" outlineLevel="1" x14ac:dyDescent="0.35">
      <c r="D100" s="9">
        <v>46143</v>
      </c>
      <c r="E100" s="10">
        <v>321.97000000000003</v>
      </c>
      <c r="F100" s="10">
        <v>323.25</v>
      </c>
      <c r="G100" s="10">
        <v>327.10000000000002</v>
      </c>
      <c r="H100" s="10">
        <v>321.23</v>
      </c>
      <c r="I100" s="11">
        <v>142.97999999999999</v>
      </c>
      <c r="J100" s="12">
        <v>-6.7999999999999996E-3</v>
      </c>
      <c r="K100" s="10">
        <f>'Datos históricos de Credicorp ('!$F100-'Datos históricos de Credicorp ('!$G100</f>
        <v>-3.8500000000000227</v>
      </c>
    </row>
    <row r="101" spans="4:11" outlineLevel="1" x14ac:dyDescent="0.35">
      <c r="D101" s="9">
        <v>46142</v>
      </c>
      <c r="E101" s="10">
        <v>324.17</v>
      </c>
      <c r="F101" s="10">
        <v>320.76</v>
      </c>
      <c r="G101" s="10">
        <v>325.87</v>
      </c>
      <c r="H101" s="10">
        <v>317.22000000000003</v>
      </c>
      <c r="I101" s="11">
        <v>188.73</v>
      </c>
      <c r="J101" s="12">
        <v>1.9199999999999998E-2</v>
      </c>
      <c r="K101" s="10">
        <f>'Datos históricos de Credicorp ('!$F101-'Datos históricos de Credicorp ('!$G101</f>
        <v>-5.1100000000000136</v>
      </c>
    </row>
    <row r="102" spans="4:11" outlineLevel="1" x14ac:dyDescent="0.35">
      <c r="D102" s="9">
        <v>46141</v>
      </c>
      <c r="E102" s="10">
        <v>318.06</v>
      </c>
      <c r="F102" s="10">
        <v>321.07</v>
      </c>
      <c r="G102" s="10">
        <v>325.16000000000003</v>
      </c>
      <c r="H102" s="10">
        <v>315.25</v>
      </c>
      <c r="I102" s="11">
        <v>192.69</v>
      </c>
      <c r="J102" s="12">
        <v>-8.3000000000000001E-3</v>
      </c>
      <c r="K102" s="10">
        <f>'Datos históricos de Credicorp ('!$F102-'Datos históricos de Credicorp ('!$G102</f>
        <v>-4.0900000000000318</v>
      </c>
    </row>
    <row r="103" spans="4:11" outlineLevel="1" x14ac:dyDescent="0.35">
      <c r="D103" s="9">
        <v>46140</v>
      </c>
      <c r="E103" s="10">
        <v>320.72000000000003</v>
      </c>
      <c r="F103" s="10">
        <v>318.89999999999998</v>
      </c>
      <c r="G103" s="10">
        <v>320.72000000000003</v>
      </c>
      <c r="H103" s="10">
        <v>316.27</v>
      </c>
      <c r="I103" s="11">
        <v>310.36</v>
      </c>
      <c r="J103" s="12">
        <v>2.3999999999999998E-3</v>
      </c>
      <c r="K103" s="10">
        <f>'Datos históricos de Credicorp ('!$F103-'Datos históricos de Credicorp ('!$G103</f>
        <v>-1.82000000000005</v>
      </c>
    </row>
    <row r="104" spans="4:11" outlineLevel="1" x14ac:dyDescent="0.35">
      <c r="D104" s="9">
        <v>46139</v>
      </c>
      <c r="E104" s="10">
        <v>319.94</v>
      </c>
      <c r="F104" s="10">
        <v>323.64999999999998</v>
      </c>
      <c r="G104" s="10">
        <v>326.31</v>
      </c>
      <c r="H104" s="10">
        <v>316.42</v>
      </c>
      <c r="I104" s="11">
        <v>288.8</v>
      </c>
      <c r="J104" s="12">
        <v>-1.15E-2</v>
      </c>
      <c r="K104" s="10">
        <f>'Datos históricos de Credicorp ('!$F104-'Datos históricos de Credicorp ('!$G104</f>
        <v>-2.660000000000025</v>
      </c>
    </row>
    <row r="105" spans="4:11" outlineLevel="1" x14ac:dyDescent="0.35">
      <c r="D105" s="9">
        <v>46136</v>
      </c>
      <c r="E105" s="10">
        <v>323.64999999999998</v>
      </c>
      <c r="F105" s="10">
        <v>323</v>
      </c>
      <c r="G105" s="10">
        <v>330.75</v>
      </c>
      <c r="H105" s="10">
        <v>320.37</v>
      </c>
      <c r="I105" s="11">
        <v>314.47000000000003</v>
      </c>
      <c r="J105" s="12">
        <v>5.0000000000000001E-4</v>
      </c>
      <c r="K105" s="10">
        <f>'Datos históricos de Credicorp ('!$F105-'Datos históricos de Credicorp ('!$G105</f>
        <v>-7.75</v>
      </c>
    </row>
    <row r="106" spans="4:11" outlineLevel="1" x14ac:dyDescent="0.35">
      <c r="D106" s="9">
        <v>46135</v>
      </c>
      <c r="E106" s="10">
        <v>323.49</v>
      </c>
      <c r="F106" s="10">
        <v>334</v>
      </c>
      <c r="G106" s="10">
        <v>336.72</v>
      </c>
      <c r="H106" s="10">
        <v>321.52</v>
      </c>
      <c r="I106" s="11">
        <v>385.09</v>
      </c>
      <c r="J106" s="12">
        <v>-3.2800000000000003E-2</v>
      </c>
      <c r="K106" s="10">
        <f>'Datos históricos de Credicorp ('!$F106-'Datos históricos de Credicorp ('!$G106</f>
        <v>-2.7200000000000273</v>
      </c>
    </row>
    <row r="107" spans="4:11" outlineLevel="1" x14ac:dyDescent="0.35">
      <c r="D107" s="9">
        <v>46134</v>
      </c>
      <c r="E107" s="10">
        <v>334.47</v>
      </c>
      <c r="F107" s="10">
        <v>337.31</v>
      </c>
      <c r="G107" s="10">
        <v>339</v>
      </c>
      <c r="H107" s="10">
        <v>329.92</v>
      </c>
      <c r="I107" s="11">
        <v>388.61</v>
      </c>
      <c r="J107" s="12">
        <v>3.8E-3</v>
      </c>
      <c r="K107" s="10">
        <f>'Datos históricos de Credicorp ('!$F107-'Datos históricos de Credicorp ('!$G107</f>
        <v>-1.6899999999999977</v>
      </c>
    </row>
    <row r="108" spans="4:11" outlineLevel="1" x14ac:dyDescent="0.35">
      <c r="D108" s="9">
        <v>46133</v>
      </c>
      <c r="E108" s="10">
        <v>333.22</v>
      </c>
      <c r="F108" s="10">
        <v>337.71</v>
      </c>
      <c r="G108" s="10">
        <v>345.73</v>
      </c>
      <c r="H108" s="10">
        <v>330.96</v>
      </c>
      <c r="I108" s="11">
        <v>255.6</v>
      </c>
      <c r="J108" s="12">
        <v>-7.7999999999999996E-3</v>
      </c>
      <c r="K108" s="10">
        <f>'Datos históricos de Credicorp ('!$F108-'Datos históricos de Credicorp ('!$G108</f>
        <v>-8.0200000000000387</v>
      </c>
    </row>
    <row r="109" spans="4:11" outlineLevel="1" x14ac:dyDescent="0.35">
      <c r="D109" s="9">
        <v>46132</v>
      </c>
      <c r="E109" s="10">
        <v>335.85</v>
      </c>
      <c r="F109" s="10">
        <v>329.92</v>
      </c>
      <c r="G109" s="10">
        <v>339.84</v>
      </c>
      <c r="H109" s="10">
        <v>327.51</v>
      </c>
      <c r="I109" s="11">
        <v>333.11</v>
      </c>
      <c r="J109" s="12">
        <v>1.18E-2</v>
      </c>
      <c r="K109" s="10">
        <f>'Datos históricos de Credicorp ('!$F109-'Datos históricos de Credicorp ('!$G109</f>
        <v>-9.9199999999999591</v>
      </c>
    </row>
    <row r="110" spans="4:11" outlineLevel="1" x14ac:dyDescent="0.35">
      <c r="D110" s="9">
        <v>46129</v>
      </c>
      <c r="E110" s="10">
        <v>331.94</v>
      </c>
      <c r="F110" s="10">
        <v>341.22</v>
      </c>
      <c r="G110" s="10">
        <v>349.32</v>
      </c>
      <c r="H110" s="10">
        <v>328.42</v>
      </c>
      <c r="I110" s="11">
        <v>718.23</v>
      </c>
      <c r="J110" s="12">
        <v>-2.4299999999999999E-2</v>
      </c>
      <c r="K110" s="10">
        <f>'Datos históricos de Credicorp ('!$F110-'Datos históricos de Credicorp ('!$G110</f>
        <v>-8.0999999999999659</v>
      </c>
    </row>
    <row r="111" spans="4:11" outlineLevel="1" x14ac:dyDescent="0.35">
      <c r="D111" s="9">
        <v>46128</v>
      </c>
      <c r="E111" s="10">
        <v>340.22</v>
      </c>
      <c r="F111" s="10">
        <v>318.12</v>
      </c>
      <c r="G111" s="10">
        <v>340.97</v>
      </c>
      <c r="H111" s="10">
        <v>316.05</v>
      </c>
      <c r="I111" s="11" t="s">
        <v>10</v>
      </c>
      <c r="J111" s="12">
        <v>7.4999999999999997E-2</v>
      </c>
      <c r="K111" s="10">
        <f>'Datos históricos de Credicorp ('!$F111-'Datos históricos de Credicorp ('!$G111</f>
        <v>-22.850000000000023</v>
      </c>
    </row>
    <row r="112" spans="4:11" outlineLevel="1" x14ac:dyDescent="0.35">
      <c r="D112" s="9">
        <v>46127</v>
      </c>
      <c r="E112" s="10">
        <v>316.49</v>
      </c>
      <c r="F112" s="10">
        <v>358.2</v>
      </c>
      <c r="G112" s="10">
        <v>358.2</v>
      </c>
      <c r="H112" s="10">
        <v>314.52</v>
      </c>
      <c r="I112" s="11" t="s">
        <v>11</v>
      </c>
      <c r="J112" s="12">
        <v>-0.1149</v>
      </c>
      <c r="K112" s="10">
        <f>'Datos históricos de Credicorp ('!$F112-'Datos históricos de Credicorp ('!$G112</f>
        <v>0</v>
      </c>
    </row>
    <row r="113" spans="4:11" outlineLevel="1" x14ac:dyDescent="0.35">
      <c r="D113" s="9">
        <v>46126</v>
      </c>
      <c r="E113" s="10">
        <v>357.59</v>
      </c>
      <c r="F113" s="10">
        <v>362.47</v>
      </c>
      <c r="G113" s="10">
        <v>362.47</v>
      </c>
      <c r="H113" s="10">
        <v>354.04</v>
      </c>
      <c r="I113" s="11">
        <v>347.19</v>
      </c>
      <c r="J113" s="12">
        <v>-1.04E-2</v>
      </c>
      <c r="K113" s="10">
        <f>'Datos históricos de Credicorp ('!$F113-'Datos históricos de Credicorp ('!$G113</f>
        <v>0</v>
      </c>
    </row>
    <row r="114" spans="4:11" outlineLevel="1" x14ac:dyDescent="0.35">
      <c r="D114" s="9">
        <v>46125</v>
      </c>
      <c r="E114" s="10">
        <v>361.34</v>
      </c>
      <c r="F114" s="10">
        <v>351.5</v>
      </c>
      <c r="G114" s="10">
        <v>365.46</v>
      </c>
      <c r="H114" s="10">
        <v>347.38</v>
      </c>
      <c r="I114" s="11">
        <v>644.39</v>
      </c>
      <c r="J114" s="12">
        <v>3.4099999999999998E-2</v>
      </c>
      <c r="K114" s="10">
        <f>'Datos históricos de Credicorp ('!$F114-'Datos históricos de Credicorp ('!$G114</f>
        <v>-13.95999999999998</v>
      </c>
    </row>
    <row r="115" spans="4:11" outlineLevel="1" x14ac:dyDescent="0.35">
      <c r="D115" s="9">
        <v>46122</v>
      </c>
      <c r="E115" s="10">
        <v>349.42</v>
      </c>
      <c r="F115" s="10">
        <v>353.13</v>
      </c>
      <c r="G115" s="10">
        <v>358.65</v>
      </c>
      <c r="H115" s="10">
        <v>346.82</v>
      </c>
      <c r="I115" s="11">
        <v>291.52999999999997</v>
      </c>
      <c r="J115" s="12">
        <v>-8.3999999999999995E-3</v>
      </c>
      <c r="K115" s="10">
        <f>'Datos históricos de Credicorp ('!$F115-'Datos históricos de Credicorp ('!$G115</f>
        <v>-5.5199999999999818</v>
      </c>
    </row>
    <row r="116" spans="4:11" outlineLevel="1" x14ac:dyDescent="0.35">
      <c r="D116" s="9">
        <v>46121</v>
      </c>
      <c r="E116" s="10">
        <v>352.37</v>
      </c>
      <c r="F116" s="10">
        <v>350.1</v>
      </c>
      <c r="G116" s="10">
        <v>354.94</v>
      </c>
      <c r="H116" s="10">
        <v>346.11</v>
      </c>
      <c r="I116" s="11">
        <v>435.41</v>
      </c>
      <c r="J116" s="12">
        <v>2.9999999999999997E-4</v>
      </c>
      <c r="K116" s="10">
        <f>'Datos históricos de Credicorp ('!$F116-'Datos históricos de Credicorp ('!$G116</f>
        <v>-4.839999999999975</v>
      </c>
    </row>
    <row r="117" spans="4:11" outlineLevel="1" x14ac:dyDescent="0.35">
      <c r="D117" s="9">
        <v>46120</v>
      </c>
      <c r="E117" s="10">
        <v>352.25</v>
      </c>
      <c r="F117" s="10">
        <v>347.73</v>
      </c>
      <c r="G117" s="10">
        <v>357</v>
      </c>
      <c r="H117" s="10">
        <v>347.73</v>
      </c>
      <c r="I117" s="11">
        <v>337.94</v>
      </c>
      <c r="J117" s="12">
        <v>4.3900000000000002E-2</v>
      </c>
      <c r="K117" s="10">
        <f>'Datos históricos de Credicorp ('!$F117-'Datos históricos de Credicorp ('!$G117</f>
        <v>-9.2699999999999818</v>
      </c>
    </row>
    <row r="118" spans="4:11" outlineLevel="1" x14ac:dyDescent="0.35">
      <c r="D118" s="9">
        <v>46119</v>
      </c>
      <c r="E118" s="10">
        <v>337.44</v>
      </c>
      <c r="F118" s="10">
        <v>336.92</v>
      </c>
      <c r="G118" s="10">
        <v>339.13</v>
      </c>
      <c r="H118" s="10">
        <v>332.46</v>
      </c>
      <c r="I118" s="11">
        <v>196.83</v>
      </c>
      <c r="J118" s="12">
        <v>-4.1000000000000003E-3</v>
      </c>
      <c r="K118" s="10">
        <f>'Datos históricos de Credicorp ('!$F118-'Datos históricos de Credicorp ('!$G118</f>
        <v>-2.2099999999999795</v>
      </c>
    </row>
    <row r="119" spans="4:11" outlineLevel="1" x14ac:dyDescent="0.35">
      <c r="D119" s="9">
        <v>46118</v>
      </c>
      <c r="E119" s="10">
        <v>338.83</v>
      </c>
      <c r="F119" s="10">
        <v>339.49</v>
      </c>
      <c r="G119" s="10">
        <v>343.86</v>
      </c>
      <c r="H119" s="10">
        <v>337.26</v>
      </c>
      <c r="I119" s="11">
        <v>180.69</v>
      </c>
      <c r="J119" s="12">
        <v>-3.3999999999999998E-3</v>
      </c>
      <c r="K119" s="10">
        <f>'Datos históricos de Credicorp ('!$F119-'Datos históricos de Credicorp ('!$G119</f>
        <v>-4.3700000000000045</v>
      </c>
    </row>
    <row r="120" spans="4:11" outlineLevel="1" x14ac:dyDescent="0.35">
      <c r="D120" s="9">
        <v>46114</v>
      </c>
      <c r="E120" s="10">
        <v>339.98</v>
      </c>
      <c r="F120" s="10">
        <v>333.56</v>
      </c>
      <c r="G120" s="10">
        <v>343.61</v>
      </c>
      <c r="H120" s="10">
        <v>330.42</v>
      </c>
      <c r="I120" s="11">
        <v>175.93</v>
      </c>
      <c r="J120" s="12">
        <v>-3.8E-3</v>
      </c>
      <c r="K120" s="10">
        <f>'Datos históricos de Credicorp ('!$F120-'Datos históricos de Credicorp ('!$G120</f>
        <v>-10.050000000000011</v>
      </c>
    </row>
    <row r="121" spans="4:11" outlineLevel="1" x14ac:dyDescent="0.35">
      <c r="D121" s="9">
        <v>46113</v>
      </c>
      <c r="E121" s="10">
        <v>341.26</v>
      </c>
      <c r="F121" s="10">
        <v>345.9</v>
      </c>
      <c r="G121" s="10">
        <v>348</v>
      </c>
      <c r="H121" s="10">
        <v>340.97</v>
      </c>
      <c r="I121" s="11">
        <v>295.17</v>
      </c>
      <c r="J121" s="12">
        <v>6.1000000000000004E-3</v>
      </c>
      <c r="K121" s="10">
        <f>'Datos históricos de Credicorp ('!$F121-'Datos históricos de Credicorp ('!$G121</f>
        <v>-2.1000000000000227</v>
      </c>
    </row>
    <row r="122" spans="4:11" outlineLevel="1" x14ac:dyDescent="0.35">
      <c r="D122" s="9">
        <v>46112</v>
      </c>
      <c r="E122" s="10">
        <v>339.18</v>
      </c>
      <c r="F122" s="10">
        <v>326.52</v>
      </c>
      <c r="G122" s="10">
        <v>340.01</v>
      </c>
      <c r="H122" s="10">
        <v>320.13</v>
      </c>
      <c r="I122" s="11">
        <v>469.85</v>
      </c>
      <c r="J122" s="12">
        <v>6.1800000000000001E-2</v>
      </c>
      <c r="K122" s="10">
        <f>'Datos históricos de Credicorp ('!$F122-'Datos históricos de Credicorp ('!$G122</f>
        <v>-13.490000000000009</v>
      </c>
    </row>
    <row r="123" spans="4:11" outlineLevel="1" x14ac:dyDescent="0.35">
      <c r="D123" s="9">
        <v>46111</v>
      </c>
      <c r="E123" s="10">
        <v>319.43</v>
      </c>
      <c r="F123" s="10">
        <v>323.91000000000003</v>
      </c>
      <c r="G123" s="10">
        <v>323.91000000000003</v>
      </c>
      <c r="H123" s="10">
        <v>316.7</v>
      </c>
      <c r="I123" s="11">
        <v>285.04000000000002</v>
      </c>
      <c r="J123" s="12">
        <v>-9.2999999999999992E-3</v>
      </c>
      <c r="K123" s="10">
        <f>'Datos históricos de Credicorp ('!$F123-'Datos históricos de Credicorp ('!$G123</f>
        <v>0</v>
      </c>
    </row>
    <row r="124" spans="4:11" outlineLevel="1" x14ac:dyDescent="0.35">
      <c r="D124" s="9">
        <v>46108</v>
      </c>
      <c r="E124" s="10">
        <v>322.43</v>
      </c>
      <c r="F124" s="10">
        <v>328.46</v>
      </c>
      <c r="G124" s="10">
        <v>329.89</v>
      </c>
      <c r="H124" s="10">
        <v>319.77</v>
      </c>
      <c r="I124" s="11">
        <v>384.34</v>
      </c>
      <c r="J124" s="12">
        <v>-1.8599999999999998E-2</v>
      </c>
      <c r="K124" s="10">
        <f>'Datos históricos de Credicorp ('!$F124-'Datos históricos de Credicorp ('!$G124</f>
        <v>-1.4300000000000068</v>
      </c>
    </row>
    <row r="125" spans="4:11" outlineLevel="1" x14ac:dyDescent="0.35">
      <c r="D125" s="9">
        <v>46107</v>
      </c>
      <c r="E125" s="10">
        <v>328.54</v>
      </c>
      <c r="F125" s="10">
        <v>335.19</v>
      </c>
      <c r="G125" s="10">
        <v>340.2</v>
      </c>
      <c r="H125" s="10">
        <v>328.44</v>
      </c>
      <c r="I125" s="11">
        <v>239.75</v>
      </c>
      <c r="J125" s="12">
        <v>-3.0599999999999999E-2</v>
      </c>
      <c r="K125" s="10">
        <f>'Datos históricos de Credicorp ('!$F125-'Datos históricos de Credicorp ('!$G125</f>
        <v>-5.0099999999999909</v>
      </c>
    </row>
    <row r="126" spans="4:11" outlineLevel="1" x14ac:dyDescent="0.35">
      <c r="D126" s="9">
        <v>46106</v>
      </c>
      <c r="E126" s="10">
        <v>338.9</v>
      </c>
      <c r="F126" s="10">
        <v>335.12</v>
      </c>
      <c r="G126" s="10">
        <v>341.07</v>
      </c>
      <c r="H126" s="10">
        <v>332.29</v>
      </c>
      <c r="I126" s="11">
        <v>342.73</v>
      </c>
      <c r="J126" s="12">
        <v>2.6200000000000001E-2</v>
      </c>
      <c r="K126" s="10">
        <f>'Datos históricos de Credicorp ('!$F126-'Datos históricos de Credicorp ('!$G126</f>
        <v>-5.9499999999999886</v>
      </c>
    </row>
    <row r="127" spans="4:11" outlineLevel="1" x14ac:dyDescent="0.35">
      <c r="D127" s="9">
        <v>46105</v>
      </c>
      <c r="E127" s="10">
        <v>330.24</v>
      </c>
      <c r="F127" s="10">
        <v>323.02</v>
      </c>
      <c r="G127" s="10">
        <v>332.47</v>
      </c>
      <c r="H127" s="10">
        <v>323.02</v>
      </c>
      <c r="I127" s="11">
        <v>269.85000000000002</v>
      </c>
      <c r="J127" s="12">
        <v>1.1999999999999999E-3</v>
      </c>
      <c r="K127" s="10">
        <f>'Datos históricos de Credicorp ('!$F127-'Datos históricos de Credicorp ('!$G127</f>
        <v>-9.4500000000000455</v>
      </c>
    </row>
    <row r="128" spans="4:11" outlineLevel="1" x14ac:dyDescent="0.35">
      <c r="D128" s="9">
        <v>46104</v>
      </c>
      <c r="E128" s="10">
        <v>329.83</v>
      </c>
      <c r="F128" s="10">
        <v>330.88</v>
      </c>
      <c r="G128" s="10">
        <v>338.51</v>
      </c>
      <c r="H128" s="10">
        <v>326.99</v>
      </c>
      <c r="I128" s="11">
        <v>325.81</v>
      </c>
      <c r="J128" s="12">
        <v>2.5499999999999998E-2</v>
      </c>
      <c r="K128" s="10">
        <f>'Datos históricos de Credicorp ('!$F128-'Datos históricos de Credicorp ('!$G128</f>
        <v>-7.6299999999999955</v>
      </c>
    </row>
    <row r="129" spans="4:11" outlineLevel="1" x14ac:dyDescent="0.35">
      <c r="D129" s="9">
        <v>46101</v>
      </c>
      <c r="E129" s="10">
        <v>321.64</v>
      </c>
      <c r="F129" s="10">
        <v>326.26</v>
      </c>
      <c r="G129" s="10">
        <v>329.14</v>
      </c>
      <c r="H129" s="10">
        <v>319.43</v>
      </c>
      <c r="I129" s="11">
        <v>526.12</v>
      </c>
      <c r="J129" s="12">
        <v>-2.0299999999999999E-2</v>
      </c>
      <c r="K129" s="10">
        <f>'Datos históricos de Credicorp ('!$F129-'Datos históricos de Credicorp ('!$G129</f>
        <v>-2.8799999999999955</v>
      </c>
    </row>
    <row r="130" spans="4:11" outlineLevel="1" x14ac:dyDescent="0.35">
      <c r="D130" s="9">
        <v>46100</v>
      </c>
      <c r="E130" s="10">
        <v>328.32</v>
      </c>
      <c r="F130" s="10">
        <v>317.35000000000002</v>
      </c>
      <c r="G130" s="10">
        <v>329.27</v>
      </c>
      <c r="H130" s="10">
        <v>315.01</v>
      </c>
      <c r="I130" s="11">
        <v>312.95999999999998</v>
      </c>
      <c r="J130" s="12">
        <v>1.32E-2</v>
      </c>
      <c r="K130" s="10">
        <f>'Datos históricos de Credicorp ('!$F130-'Datos históricos de Credicorp ('!$G130</f>
        <v>-11.919999999999959</v>
      </c>
    </row>
    <row r="131" spans="4:11" outlineLevel="1" x14ac:dyDescent="0.35">
      <c r="D131" s="9">
        <v>46099</v>
      </c>
      <c r="E131" s="10">
        <v>324.04000000000002</v>
      </c>
      <c r="F131" s="10">
        <v>334.58</v>
      </c>
      <c r="G131" s="10">
        <v>338.38</v>
      </c>
      <c r="H131" s="10">
        <v>323.36</v>
      </c>
      <c r="I131" s="11">
        <v>289.85000000000002</v>
      </c>
      <c r="J131" s="12">
        <v>-3.15E-2</v>
      </c>
      <c r="K131" s="10">
        <f>'Datos históricos de Credicorp ('!$F131-'Datos históricos de Credicorp ('!$G131</f>
        <v>-3.8000000000000114</v>
      </c>
    </row>
    <row r="132" spans="4:11" outlineLevel="1" x14ac:dyDescent="0.35">
      <c r="D132" s="9">
        <v>46098</v>
      </c>
      <c r="E132" s="10">
        <v>334.58</v>
      </c>
      <c r="F132" s="10">
        <v>337.61</v>
      </c>
      <c r="G132" s="10">
        <v>341.06</v>
      </c>
      <c r="H132" s="10">
        <v>332.86</v>
      </c>
      <c r="I132" s="11">
        <v>342.31</v>
      </c>
      <c r="J132" s="12">
        <v>5.7999999999999996E-3</v>
      </c>
      <c r="K132" s="10">
        <f>'Datos históricos de Credicorp ('!$F132-'Datos históricos de Credicorp ('!$G132</f>
        <v>-3.4499999999999886</v>
      </c>
    </row>
    <row r="133" spans="4:11" outlineLevel="1" x14ac:dyDescent="0.35">
      <c r="D133" s="9">
        <v>46097</v>
      </c>
      <c r="E133" s="10">
        <v>332.66</v>
      </c>
      <c r="F133" s="10">
        <v>330.49</v>
      </c>
      <c r="G133" s="10">
        <v>335.55</v>
      </c>
      <c r="H133" s="10">
        <v>323.45</v>
      </c>
      <c r="I133" s="11">
        <v>229.13</v>
      </c>
      <c r="J133" s="12">
        <v>2.1399999999999999E-2</v>
      </c>
      <c r="K133" s="10">
        <f>'Datos históricos de Credicorp ('!$F133-'Datos históricos de Credicorp ('!$G133</f>
        <v>-5.0600000000000023</v>
      </c>
    </row>
    <row r="134" spans="4:11" outlineLevel="1" x14ac:dyDescent="0.35">
      <c r="D134" s="9">
        <v>46094</v>
      </c>
      <c r="E134" s="10">
        <v>325.68</v>
      </c>
      <c r="F134" s="10">
        <v>329.48</v>
      </c>
      <c r="G134" s="10">
        <v>334.22</v>
      </c>
      <c r="H134" s="10">
        <v>324.04000000000002</v>
      </c>
      <c r="I134" s="11">
        <v>432.13</v>
      </c>
      <c r="J134" s="12">
        <v>1.5E-3</v>
      </c>
      <c r="K134" s="10">
        <f>'Datos históricos de Credicorp ('!$F134-'Datos históricos de Credicorp ('!$G134</f>
        <v>-4.7400000000000091</v>
      </c>
    </row>
    <row r="135" spans="4:11" outlineLevel="1" x14ac:dyDescent="0.35">
      <c r="D135" s="9">
        <v>46093</v>
      </c>
      <c r="E135" s="10">
        <v>325.2</v>
      </c>
      <c r="F135" s="10">
        <v>327.64</v>
      </c>
      <c r="G135" s="10">
        <v>331.86</v>
      </c>
      <c r="H135" s="10">
        <v>324.55</v>
      </c>
      <c r="I135" s="11">
        <v>422.23</v>
      </c>
      <c r="J135" s="12">
        <v>-3.6799999999999999E-2</v>
      </c>
      <c r="K135" s="10">
        <f>'Datos históricos de Credicorp ('!$F135-'Datos históricos de Credicorp ('!$G135</f>
        <v>-4.2200000000000273</v>
      </c>
    </row>
    <row r="136" spans="4:11" outlineLevel="1" x14ac:dyDescent="0.35">
      <c r="D136" s="9">
        <v>46092</v>
      </c>
      <c r="E136" s="10">
        <v>337.61</v>
      </c>
      <c r="F136" s="10">
        <v>337.86</v>
      </c>
      <c r="G136" s="10">
        <v>341.13</v>
      </c>
      <c r="H136" s="10">
        <v>332.44</v>
      </c>
      <c r="I136" s="11">
        <v>172.95</v>
      </c>
      <c r="J136" s="12">
        <v>-1.0800000000000001E-2</v>
      </c>
      <c r="K136" s="10">
        <f>'Datos históricos de Credicorp ('!$F136-'Datos históricos de Credicorp ('!$G136</f>
        <v>-3.2699999999999818</v>
      </c>
    </row>
    <row r="137" spans="4:11" outlineLevel="1" x14ac:dyDescent="0.35">
      <c r="D137" s="9">
        <v>46091</v>
      </c>
      <c r="E137" s="10">
        <v>341.28</v>
      </c>
      <c r="F137" s="10">
        <v>332.83</v>
      </c>
      <c r="G137" s="10">
        <v>345.78</v>
      </c>
      <c r="H137" s="10">
        <v>329.3</v>
      </c>
      <c r="I137" s="11">
        <v>387.58</v>
      </c>
      <c r="J137" s="12">
        <v>3.5400000000000001E-2</v>
      </c>
      <c r="K137" s="10">
        <f>'Datos históricos de Credicorp ('!$F137-'Datos históricos de Credicorp ('!$G137</f>
        <v>-12.949999999999989</v>
      </c>
    </row>
    <row r="138" spans="4:11" outlineLevel="1" x14ac:dyDescent="0.35">
      <c r="D138" s="9">
        <v>46090</v>
      </c>
      <c r="E138" s="10">
        <v>329.6</v>
      </c>
      <c r="F138" s="10">
        <v>326.17</v>
      </c>
      <c r="G138" s="10">
        <v>329.8</v>
      </c>
      <c r="H138" s="10">
        <v>319.7</v>
      </c>
      <c r="I138" s="11">
        <v>251.36</v>
      </c>
      <c r="J138" s="12">
        <v>-2.8999999999999998E-3</v>
      </c>
      <c r="K138" s="10">
        <f>'Datos históricos de Credicorp ('!$F138-'Datos históricos de Credicorp ('!$G138</f>
        <v>-3.6299999999999955</v>
      </c>
    </row>
    <row r="139" spans="4:11" outlineLevel="1" x14ac:dyDescent="0.35">
      <c r="D139" s="9">
        <v>46087</v>
      </c>
      <c r="E139" s="10">
        <v>330.57</v>
      </c>
      <c r="F139" s="10">
        <v>332.42</v>
      </c>
      <c r="G139" s="10">
        <v>335.52</v>
      </c>
      <c r="H139" s="10">
        <v>324.07</v>
      </c>
      <c r="I139" s="11">
        <v>616</v>
      </c>
      <c r="J139" s="12">
        <v>-1.0800000000000001E-2</v>
      </c>
      <c r="K139" s="10">
        <f>'Datos históricos de Credicorp ('!$F139-'Datos históricos de Credicorp ('!$G139</f>
        <v>-3.0999999999999659</v>
      </c>
    </row>
    <row r="140" spans="4:11" outlineLevel="1" x14ac:dyDescent="0.35">
      <c r="D140" s="9">
        <v>46086</v>
      </c>
      <c r="E140" s="10">
        <v>334.18</v>
      </c>
      <c r="F140" s="10">
        <v>334.55</v>
      </c>
      <c r="G140" s="10">
        <v>339.23</v>
      </c>
      <c r="H140" s="10">
        <v>325.39999999999998</v>
      </c>
      <c r="I140" s="11">
        <v>351.57</v>
      </c>
      <c r="J140" s="12">
        <v>-1.49E-2</v>
      </c>
      <c r="K140" s="10">
        <f>'Datos históricos de Credicorp ('!$F140-'Datos históricos de Credicorp ('!$G140</f>
        <v>-4.6800000000000068</v>
      </c>
    </row>
    <row r="141" spans="4:11" outlineLevel="1" x14ac:dyDescent="0.35">
      <c r="D141" s="9">
        <v>46085</v>
      </c>
      <c r="E141" s="10">
        <v>339.23</v>
      </c>
      <c r="F141" s="10">
        <v>335.27</v>
      </c>
      <c r="G141" s="10">
        <v>341.63</v>
      </c>
      <c r="H141" s="10">
        <v>333.16</v>
      </c>
      <c r="I141" s="11">
        <v>352.33</v>
      </c>
      <c r="J141" s="12">
        <v>1.9699999999999999E-2</v>
      </c>
      <c r="K141" s="10">
        <f>'Datos históricos de Credicorp ('!$F141-'Datos históricos de Credicorp ('!$G141</f>
        <v>-6.3600000000000136</v>
      </c>
    </row>
    <row r="142" spans="4:11" outlineLevel="1" x14ac:dyDescent="0.35">
      <c r="D142" s="9">
        <v>46084</v>
      </c>
      <c r="E142" s="10">
        <v>332.68</v>
      </c>
      <c r="F142" s="10">
        <v>343.82</v>
      </c>
      <c r="G142" s="10">
        <v>347.98</v>
      </c>
      <c r="H142" s="10">
        <v>329.4</v>
      </c>
      <c r="I142" s="11">
        <v>890.59</v>
      </c>
      <c r="J142" s="12">
        <v>-5.74E-2</v>
      </c>
      <c r="K142" s="10">
        <f>'Datos históricos de Credicorp ('!$F142-'Datos históricos de Credicorp ('!$G142</f>
        <v>-4.160000000000025</v>
      </c>
    </row>
    <row r="143" spans="4:11" outlineLevel="1" x14ac:dyDescent="0.35">
      <c r="D143" s="9">
        <v>46083</v>
      </c>
      <c r="E143" s="10">
        <v>352.94</v>
      </c>
      <c r="F143" s="10">
        <v>342.44</v>
      </c>
      <c r="G143" s="10">
        <v>353.33</v>
      </c>
      <c r="H143" s="10">
        <v>338.92</v>
      </c>
      <c r="I143" s="11">
        <v>251.97</v>
      </c>
      <c r="J143" s="12">
        <v>1.89E-2</v>
      </c>
      <c r="K143" s="10">
        <f>'Datos históricos de Credicorp ('!$F143-'Datos históricos de Credicorp ('!$G143</f>
        <v>-10.889999999999986</v>
      </c>
    </row>
    <row r="144" spans="4:11" outlineLevel="1" x14ac:dyDescent="0.35">
      <c r="D144" s="9">
        <v>46080</v>
      </c>
      <c r="E144" s="10">
        <v>346.38</v>
      </c>
      <c r="F144" s="10">
        <v>354.23</v>
      </c>
      <c r="G144" s="10">
        <v>359.55</v>
      </c>
      <c r="H144" s="10">
        <v>345.95</v>
      </c>
      <c r="I144" s="11">
        <v>802.01</v>
      </c>
      <c r="J144" s="12">
        <v>-2.5600000000000001E-2</v>
      </c>
      <c r="K144" s="10">
        <f>'Datos históricos de Credicorp ('!$F144-'Datos históricos de Credicorp ('!$G144</f>
        <v>-5.3199999999999932</v>
      </c>
    </row>
    <row r="145" spans="4:11" outlineLevel="1" x14ac:dyDescent="0.35">
      <c r="D145" s="9">
        <v>46079</v>
      </c>
      <c r="E145" s="10">
        <v>355.48</v>
      </c>
      <c r="F145" s="10">
        <v>353.27</v>
      </c>
      <c r="G145" s="10">
        <v>357.3</v>
      </c>
      <c r="H145" s="10">
        <v>347.84</v>
      </c>
      <c r="I145" s="11">
        <v>374.42</v>
      </c>
      <c r="J145" s="12">
        <v>1E-3</v>
      </c>
      <c r="K145" s="10">
        <f>'Datos históricos de Credicorp ('!$F145-'Datos históricos de Credicorp ('!$G145</f>
        <v>-4.0300000000000296</v>
      </c>
    </row>
    <row r="146" spans="4:11" outlineLevel="1" x14ac:dyDescent="0.35">
      <c r="D146" s="9">
        <v>46078</v>
      </c>
      <c r="E146" s="10">
        <v>355.14</v>
      </c>
      <c r="F146" s="10">
        <v>352.31</v>
      </c>
      <c r="G146" s="10">
        <v>360.83</v>
      </c>
      <c r="H146" s="10">
        <v>352.31</v>
      </c>
      <c r="I146" s="11">
        <v>488.49</v>
      </c>
      <c r="J146" s="12">
        <v>7.7000000000000002E-3</v>
      </c>
      <c r="K146" s="10">
        <f>'Datos históricos de Credicorp ('!$F146-'Datos históricos de Credicorp ('!$G146</f>
        <v>-8.5199999999999818</v>
      </c>
    </row>
    <row r="147" spans="4:11" outlineLevel="1" x14ac:dyDescent="0.35">
      <c r="D147" s="9">
        <v>46077</v>
      </c>
      <c r="E147" s="10">
        <v>352.43</v>
      </c>
      <c r="F147" s="10">
        <v>347.2</v>
      </c>
      <c r="G147" s="10">
        <v>352.44</v>
      </c>
      <c r="H147" s="10">
        <v>341.14</v>
      </c>
      <c r="I147" s="11">
        <v>488.58</v>
      </c>
      <c r="J147" s="12">
        <v>2.3099999999999999E-2</v>
      </c>
      <c r="K147" s="10">
        <f>'Datos históricos de Credicorp ('!$F147-'Datos históricos de Credicorp ('!$G147</f>
        <v>-5.2400000000000091</v>
      </c>
    </row>
    <row r="148" spans="4:11" outlineLevel="1" x14ac:dyDescent="0.35">
      <c r="D148" s="9">
        <v>46076</v>
      </c>
      <c r="E148" s="10">
        <v>344.47</v>
      </c>
      <c r="F148" s="10">
        <v>352.2</v>
      </c>
      <c r="G148" s="10">
        <v>353.93</v>
      </c>
      <c r="H148" s="10">
        <v>343.56</v>
      </c>
      <c r="I148" s="11">
        <v>218.61</v>
      </c>
      <c r="J148" s="12">
        <v>-1.6500000000000001E-2</v>
      </c>
      <c r="K148" s="10">
        <f>'Datos históricos de Credicorp ('!$F148-'Datos históricos de Credicorp ('!$G148</f>
        <v>-1.7300000000000182</v>
      </c>
    </row>
    <row r="149" spans="4:11" outlineLevel="1" x14ac:dyDescent="0.35">
      <c r="D149" s="9">
        <v>46073</v>
      </c>
      <c r="E149" s="10">
        <v>350.25</v>
      </c>
      <c r="F149" s="10">
        <v>350.34</v>
      </c>
      <c r="G149" s="10">
        <v>352.19</v>
      </c>
      <c r="H149" s="10">
        <v>340.36</v>
      </c>
      <c r="I149" s="11">
        <v>478.54</v>
      </c>
      <c r="J149" s="12">
        <v>2.3999999999999998E-3</v>
      </c>
      <c r="K149" s="10">
        <f>'Datos históricos de Credicorp ('!$F149-'Datos históricos de Credicorp ('!$G149</f>
        <v>-1.8500000000000227</v>
      </c>
    </row>
    <row r="150" spans="4:11" outlineLevel="1" x14ac:dyDescent="0.35">
      <c r="D150" s="9">
        <v>46072</v>
      </c>
      <c r="E150" s="10">
        <v>349.4</v>
      </c>
      <c r="F150" s="10">
        <v>344.51</v>
      </c>
      <c r="G150" s="10">
        <v>350.39</v>
      </c>
      <c r="H150" s="10">
        <v>340.9</v>
      </c>
      <c r="I150" s="11">
        <v>714.54</v>
      </c>
      <c r="J150" s="12">
        <v>9.7999999999999997E-3</v>
      </c>
      <c r="K150" s="10">
        <f>'Datos históricos de Credicorp ('!$F150-'Datos históricos de Credicorp ('!$G150</f>
        <v>-5.8799999999999955</v>
      </c>
    </row>
    <row r="151" spans="4:11" outlineLevel="1" x14ac:dyDescent="0.35">
      <c r="D151" s="9">
        <v>46071</v>
      </c>
      <c r="E151" s="10">
        <v>346</v>
      </c>
      <c r="F151" s="10">
        <v>337.3</v>
      </c>
      <c r="G151" s="10">
        <v>347.45</v>
      </c>
      <c r="H151" s="10">
        <v>335.89</v>
      </c>
      <c r="I151" s="11">
        <v>515.27</v>
      </c>
      <c r="J151" s="12">
        <v>3.85E-2</v>
      </c>
      <c r="K151" s="10">
        <f>'Datos históricos de Credicorp ('!$F151-'Datos históricos de Credicorp ('!$G151</f>
        <v>-10.149999999999977</v>
      </c>
    </row>
    <row r="152" spans="4:11" outlineLevel="1" x14ac:dyDescent="0.35">
      <c r="D152" s="9">
        <v>46070</v>
      </c>
      <c r="E152" s="10">
        <v>333.18</v>
      </c>
      <c r="F152" s="10">
        <v>332.29</v>
      </c>
      <c r="G152" s="10">
        <v>337.58</v>
      </c>
      <c r="H152" s="10">
        <v>325.64</v>
      </c>
      <c r="I152" s="11">
        <v>912.73</v>
      </c>
      <c r="J152" s="12">
        <v>1.0200000000000001E-2</v>
      </c>
      <c r="K152" s="10">
        <f>'Datos históricos de Credicorp ('!$F152-'Datos históricos de Credicorp ('!$G152</f>
        <v>-5.2899999999999636</v>
      </c>
    </row>
    <row r="153" spans="4:11" outlineLevel="1" x14ac:dyDescent="0.35">
      <c r="D153" s="9">
        <v>46066</v>
      </c>
      <c r="E153" s="10">
        <v>329.81</v>
      </c>
      <c r="F153" s="10">
        <v>324.25</v>
      </c>
      <c r="G153" s="10">
        <v>333.82</v>
      </c>
      <c r="H153" s="10">
        <v>318.14</v>
      </c>
      <c r="I153" s="11" t="s">
        <v>12</v>
      </c>
      <c r="J153" s="12">
        <v>-3.3000000000000002E-2</v>
      </c>
      <c r="K153" s="10">
        <f>'Datos históricos de Credicorp ('!$F153-'Datos históricos de Credicorp ('!$G153</f>
        <v>-9.5699999999999932</v>
      </c>
    </row>
    <row r="154" spans="4:11" outlineLevel="1" x14ac:dyDescent="0.35">
      <c r="D154" s="9">
        <v>46065</v>
      </c>
      <c r="E154" s="10">
        <v>341.05</v>
      </c>
      <c r="F154" s="10">
        <v>343.96</v>
      </c>
      <c r="G154" s="10">
        <v>346.23</v>
      </c>
      <c r="H154" s="10">
        <v>339.42</v>
      </c>
      <c r="I154" s="11">
        <v>569.85</v>
      </c>
      <c r="J154" s="12">
        <v>-7.7000000000000002E-3</v>
      </c>
      <c r="K154" s="10">
        <f>'Datos históricos de Credicorp ('!$F154-'Datos históricos de Credicorp ('!$G154</f>
        <v>-2.2700000000000387</v>
      </c>
    </row>
    <row r="155" spans="4:11" outlineLevel="1" x14ac:dyDescent="0.35">
      <c r="D155" s="9">
        <v>46064</v>
      </c>
      <c r="E155" s="10">
        <v>343.68</v>
      </c>
      <c r="F155" s="10">
        <v>351.39</v>
      </c>
      <c r="G155" s="10">
        <v>352.5</v>
      </c>
      <c r="H155" s="10">
        <v>343.3</v>
      </c>
      <c r="I155" s="11">
        <v>670.38</v>
      </c>
      <c r="J155" s="12">
        <v>-1.3899999999999999E-2</v>
      </c>
      <c r="K155" s="10">
        <f>'Datos históricos de Credicorp ('!$F155-'Datos históricos de Credicorp ('!$G155</f>
        <v>-1.1100000000000136</v>
      </c>
    </row>
    <row r="156" spans="4:11" outlineLevel="1" x14ac:dyDescent="0.35">
      <c r="D156" s="9">
        <v>46063</v>
      </c>
      <c r="E156" s="10">
        <v>348.54</v>
      </c>
      <c r="F156" s="10">
        <v>357.62</v>
      </c>
      <c r="G156" s="10">
        <v>360</v>
      </c>
      <c r="H156" s="10">
        <v>346.59</v>
      </c>
      <c r="I156" s="11">
        <v>633.84</v>
      </c>
      <c r="J156" s="12">
        <v>-2.3E-2</v>
      </c>
      <c r="K156" s="10">
        <f>'Datos históricos de Credicorp ('!$F156-'Datos históricos de Credicorp ('!$G156</f>
        <v>-2.3799999999999955</v>
      </c>
    </row>
    <row r="157" spans="4:11" outlineLevel="1" x14ac:dyDescent="0.35">
      <c r="D157" s="9">
        <v>46062</v>
      </c>
      <c r="E157" s="10">
        <v>356.74</v>
      </c>
      <c r="F157" s="10">
        <v>354.08</v>
      </c>
      <c r="G157" s="10">
        <v>358.4</v>
      </c>
      <c r="H157" s="10">
        <v>350.79</v>
      </c>
      <c r="I157" s="11">
        <v>918.05</v>
      </c>
      <c r="J157" s="12">
        <v>9.7000000000000003E-3</v>
      </c>
      <c r="K157" s="10">
        <f>'Datos históricos de Credicorp ('!$F157-'Datos históricos de Credicorp ('!$G157</f>
        <v>-4.3199999999999932</v>
      </c>
    </row>
    <row r="158" spans="4:11" outlineLevel="1" x14ac:dyDescent="0.35">
      <c r="D158" s="9">
        <v>46059</v>
      </c>
      <c r="E158" s="10">
        <v>353.3</v>
      </c>
      <c r="F158" s="10">
        <v>360.3</v>
      </c>
      <c r="G158" s="10">
        <v>364.57</v>
      </c>
      <c r="H158" s="10">
        <v>351.63</v>
      </c>
      <c r="I158" s="11">
        <v>803.05</v>
      </c>
      <c r="J158" s="12">
        <v>-8.6999999999999994E-3</v>
      </c>
      <c r="K158" s="10">
        <f>'Datos históricos de Credicorp ('!$F158-'Datos históricos de Credicorp ('!$G158</f>
        <v>-4.2699999999999818</v>
      </c>
    </row>
    <row r="159" spans="4:11" outlineLevel="1" x14ac:dyDescent="0.35">
      <c r="D159" s="9">
        <v>46058</v>
      </c>
      <c r="E159" s="10">
        <v>356.4</v>
      </c>
      <c r="F159" s="10">
        <v>358.9</v>
      </c>
      <c r="G159" s="10">
        <v>362.48</v>
      </c>
      <c r="H159" s="10">
        <v>351.66</v>
      </c>
      <c r="I159" s="11">
        <v>559.38</v>
      </c>
      <c r="J159" s="12">
        <v>-1.9900000000000001E-2</v>
      </c>
      <c r="K159" s="10">
        <f>'Datos históricos de Credicorp ('!$F159-'Datos históricos de Credicorp ('!$G159</f>
        <v>-3.5800000000000409</v>
      </c>
    </row>
    <row r="160" spans="4:11" outlineLevel="1" x14ac:dyDescent="0.35">
      <c r="D160" s="9">
        <v>46057</v>
      </c>
      <c r="E160" s="10">
        <v>363.63</v>
      </c>
      <c r="F160" s="10">
        <v>374.16</v>
      </c>
      <c r="G160" s="10">
        <v>377.05</v>
      </c>
      <c r="H160" s="10">
        <v>359.14</v>
      </c>
      <c r="I160" s="11">
        <v>406.99</v>
      </c>
      <c r="J160" s="12">
        <v>-3.1E-2</v>
      </c>
      <c r="K160" s="10">
        <f>'Datos históricos de Credicorp ('!$F160-'Datos históricos de Credicorp ('!$G160</f>
        <v>-2.8899999999999864</v>
      </c>
    </row>
    <row r="161" spans="4:11" outlineLevel="1" x14ac:dyDescent="0.35">
      <c r="D161" s="9">
        <v>46056</v>
      </c>
      <c r="E161" s="10">
        <v>375.25</v>
      </c>
      <c r="F161" s="10">
        <v>372.81</v>
      </c>
      <c r="G161" s="10">
        <v>380.2</v>
      </c>
      <c r="H161" s="10">
        <v>370</v>
      </c>
      <c r="I161" s="11">
        <v>925.91</v>
      </c>
      <c r="J161" s="12">
        <v>0.02</v>
      </c>
      <c r="K161" s="10">
        <f>'Datos históricos de Credicorp ('!$F161-'Datos históricos de Credicorp ('!$G161</f>
        <v>-7.3899999999999864</v>
      </c>
    </row>
    <row r="162" spans="4:11" outlineLevel="1" x14ac:dyDescent="0.35">
      <c r="D162" s="9">
        <v>46055</v>
      </c>
      <c r="E162" s="10">
        <v>367.91</v>
      </c>
      <c r="F162" s="10">
        <v>355.34</v>
      </c>
      <c r="G162" s="10">
        <v>368.77</v>
      </c>
      <c r="H162" s="10">
        <v>353.79</v>
      </c>
      <c r="I162" s="11">
        <v>327.07</v>
      </c>
      <c r="J162" s="12">
        <v>3.1099999999999999E-2</v>
      </c>
      <c r="K162" s="10">
        <f>'Datos históricos de Credicorp ('!$F162-'Datos históricos de Credicorp ('!$G162</f>
        <v>-13.430000000000007</v>
      </c>
    </row>
    <row r="163" spans="4:11" outlineLevel="1" x14ac:dyDescent="0.35">
      <c r="D163" s="9">
        <v>46052</v>
      </c>
      <c r="E163" s="10">
        <v>356.83</v>
      </c>
      <c r="F163" s="10">
        <v>360.31</v>
      </c>
      <c r="G163" s="10">
        <v>362.41</v>
      </c>
      <c r="H163" s="10">
        <v>351.94</v>
      </c>
      <c r="I163" s="11">
        <v>973.27</v>
      </c>
      <c r="J163" s="12">
        <v>-2.35E-2</v>
      </c>
      <c r="K163" s="10">
        <f>'Datos históricos de Credicorp ('!$F163-'Datos históricos de Credicorp ('!$G163</f>
        <v>-2.1000000000000227</v>
      </c>
    </row>
    <row r="164" spans="4:11" outlineLevel="1" x14ac:dyDescent="0.35">
      <c r="D164" s="9">
        <v>46051</v>
      </c>
      <c r="E164" s="10">
        <v>365.42</v>
      </c>
      <c r="F164" s="10">
        <v>361</v>
      </c>
      <c r="G164" s="10">
        <v>365.42</v>
      </c>
      <c r="H164" s="10">
        <v>353.99</v>
      </c>
      <c r="I164" s="11">
        <v>495.2</v>
      </c>
      <c r="J164" s="12">
        <v>2.0199999999999999E-2</v>
      </c>
      <c r="K164" s="10">
        <f>'Datos históricos de Credicorp ('!$F164-'Datos históricos de Credicorp ('!$G164</f>
        <v>-4.4200000000000159</v>
      </c>
    </row>
    <row r="165" spans="4:11" outlineLevel="1" x14ac:dyDescent="0.35">
      <c r="D165" s="9">
        <v>46050</v>
      </c>
      <c r="E165" s="10">
        <v>358.18</v>
      </c>
      <c r="F165" s="10">
        <v>356.15</v>
      </c>
      <c r="G165" s="10">
        <v>359.22</v>
      </c>
      <c r="H165" s="10">
        <v>348.12</v>
      </c>
      <c r="I165" s="11">
        <v>540.30999999999995</v>
      </c>
      <c r="J165" s="12">
        <v>5.7000000000000002E-3</v>
      </c>
      <c r="K165" s="10">
        <f>'Datos históricos de Credicorp ('!$F165-'Datos históricos de Credicorp ('!$G165</f>
        <v>-3.07000000000005</v>
      </c>
    </row>
    <row r="166" spans="4:11" outlineLevel="1" x14ac:dyDescent="0.35">
      <c r="D166" s="9">
        <v>46049</v>
      </c>
      <c r="E166" s="10">
        <v>356.15</v>
      </c>
      <c r="F166" s="10">
        <v>352.82</v>
      </c>
      <c r="G166" s="10">
        <v>359.86</v>
      </c>
      <c r="H166" s="10">
        <v>351.34</v>
      </c>
      <c r="I166" s="11" t="s">
        <v>13</v>
      </c>
      <c r="J166" s="12">
        <v>2.0500000000000001E-2</v>
      </c>
      <c r="K166" s="10">
        <f>'Datos históricos de Credicorp ('!$F166-'Datos históricos de Credicorp ('!$G166</f>
        <v>-7.0400000000000205</v>
      </c>
    </row>
    <row r="167" spans="4:11" outlineLevel="1" x14ac:dyDescent="0.35">
      <c r="D167" s="9">
        <v>46048</v>
      </c>
      <c r="E167" s="10">
        <v>349</v>
      </c>
      <c r="F167" s="10">
        <v>342.92</v>
      </c>
      <c r="G167" s="10">
        <v>350.6</v>
      </c>
      <c r="H167" s="10">
        <v>342.3</v>
      </c>
      <c r="I167" s="11">
        <v>825.27</v>
      </c>
      <c r="J167" s="12">
        <v>1.3599999999999999E-2</v>
      </c>
      <c r="K167" s="10">
        <f>'Datos históricos de Credicorp ('!$F167-'Datos históricos de Credicorp ('!$G167</f>
        <v>-7.6800000000000068</v>
      </c>
    </row>
    <row r="168" spans="4:11" outlineLevel="1" x14ac:dyDescent="0.35">
      <c r="D168" s="9">
        <v>46045</v>
      </c>
      <c r="E168" s="10">
        <v>344.33</v>
      </c>
      <c r="F168" s="10">
        <v>341.5</v>
      </c>
      <c r="G168" s="10">
        <v>344.5</v>
      </c>
      <c r="H168" s="10">
        <v>335.89</v>
      </c>
      <c r="I168" s="11">
        <v>424.46</v>
      </c>
      <c r="J168" s="12">
        <v>1.09E-2</v>
      </c>
      <c r="K168" s="10">
        <f>'Datos históricos de Credicorp ('!$F168-'Datos históricos de Credicorp ('!$G168</f>
        <v>-3</v>
      </c>
    </row>
    <row r="169" spans="4:11" outlineLevel="1" x14ac:dyDescent="0.35">
      <c r="D169" s="9">
        <v>46044</v>
      </c>
      <c r="E169" s="10">
        <v>340.61</v>
      </c>
      <c r="F169" s="10">
        <v>333.61</v>
      </c>
      <c r="G169" s="10">
        <v>341.55</v>
      </c>
      <c r="H169" s="10">
        <v>332.65</v>
      </c>
      <c r="I169" s="11">
        <v>563.04999999999995</v>
      </c>
      <c r="J169" s="12">
        <v>2.41E-2</v>
      </c>
      <c r="K169" s="10">
        <f>'Datos históricos de Credicorp ('!$F169-'Datos históricos de Credicorp ('!$G169</f>
        <v>-7.9399999999999977</v>
      </c>
    </row>
    <row r="170" spans="4:11" outlineLevel="1" x14ac:dyDescent="0.35">
      <c r="D170" s="9">
        <v>46043</v>
      </c>
      <c r="E170" s="10">
        <v>332.59</v>
      </c>
      <c r="F170" s="10">
        <v>327.19</v>
      </c>
      <c r="G170" s="10">
        <v>333.43</v>
      </c>
      <c r="H170" s="10">
        <v>326.25</v>
      </c>
      <c r="I170" s="11">
        <v>396.99</v>
      </c>
      <c r="J170" s="12">
        <v>1.7299999999999999E-2</v>
      </c>
      <c r="K170" s="10">
        <f>'Datos históricos de Credicorp ('!$F170-'Datos históricos de Credicorp ('!$G170</f>
        <v>-6.2400000000000091</v>
      </c>
    </row>
    <row r="171" spans="4:11" outlineLevel="1" x14ac:dyDescent="0.35">
      <c r="D171" s="9">
        <v>46042</v>
      </c>
      <c r="E171" s="10">
        <v>326.93</v>
      </c>
      <c r="F171" s="10">
        <v>318.99</v>
      </c>
      <c r="G171" s="10">
        <v>328.41</v>
      </c>
      <c r="H171" s="10">
        <v>318.74</v>
      </c>
      <c r="I171" s="11">
        <v>369.9</v>
      </c>
      <c r="J171" s="12">
        <v>1.5800000000000002E-2</v>
      </c>
      <c r="K171" s="10">
        <f>'Datos históricos de Credicorp ('!$F171-'Datos históricos de Credicorp ('!$G171</f>
        <v>-9.4200000000000159</v>
      </c>
    </row>
    <row r="172" spans="4:11" outlineLevel="1" x14ac:dyDescent="0.35">
      <c r="D172" s="9">
        <v>46038</v>
      </c>
      <c r="E172" s="10">
        <v>321.83</v>
      </c>
      <c r="F172" s="10">
        <v>316.99</v>
      </c>
      <c r="G172" s="10">
        <v>322.68</v>
      </c>
      <c r="H172" s="10">
        <v>316.01</v>
      </c>
      <c r="I172" s="11">
        <v>353.7</v>
      </c>
      <c r="J172" s="12">
        <v>9.5999999999999992E-3</v>
      </c>
      <c r="K172" s="10">
        <f>'Datos históricos de Credicorp ('!$F172-'Datos históricos de Credicorp ('!$G172</f>
        <v>-5.6899999999999977</v>
      </c>
    </row>
    <row r="173" spans="4:11" outlineLevel="1" x14ac:dyDescent="0.35">
      <c r="D173" s="9">
        <v>46037</v>
      </c>
      <c r="E173" s="10">
        <v>318.77999999999997</v>
      </c>
      <c r="F173" s="10">
        <v>318.89</v>
      </c>
      <c r="G173" s="10">
        <v>322.77</v>
      </c>
      <c r="H173" s="10">
        <v>317.86</v>
      </c>
      <c r="I173" s="11">
        <v>628</v>
      </c>
      <c r="J173" s="12">
        <v>5.5999999999999999E-3</v>
      </c>
      <c r="K173" s="10">
        <f>'Datos históricos de Credicorp ('!$F173-'Datos históricos de Credicorp ('!$G173</f>
        <v>-3.8799999999999955</v>
      </c>
    </row>
    <row r="174" spans="4:11" outlineLevel="1" x14ac:dyDescent="0.35">
      <c r="D174" s="9">
        <v>46036</v>
      </c>
      <c r="E174" s="10">
        <v>316.99</v>
      </c>
      <c r="F174" s="10">
        <v>313</v>
      </c>
      <c r="G174" s="10">
        <v>318.19</v>
      </c>
      <c r="H174" s="10">
        <v>312.31</v>
      </c>
      <c r="I174" s="11">
        <v>323.87</v>
      </c>
      <c r="J174" s="12">
        <v>1.7600000000000001E-2</v>
      </c>
      <c r="K174" s="10">
        <f>'Datos históricos de Credicorp ('!$F174-'Datos históricos de Credicorp ('!$G174</f>
        <v>-5.1899999999999977</v>
      </c>
    </row>
    <row r="175" spans="4:11" outlineLevel="1" x14ac:dyDescent="0.35">
      <c r="D175" s="9">
        <v>46035</v>
      </c>
      <c r="E175" s="10">
        <v>311.5</v>
      </c>
      <c r="F175" s="10">
        <v>308.33999999999997</v>
      </c>
      <c r="G175" s="10">
        <v>312.33</v>
      </c>
      <c r="H175" s="10">
        <v>304.77999999999997</v>
      </c>
      <c r="I175" s="11">
        <v>460.82</v>
      </c>
      <c r="J175" s="12">
        <v>1.4200000000000001E-2</v>
      </c>
      <c r="K175" s="10">
        <f>'Datos históricos de Credicorp ('!$F175-'Datos históricos de Credicorp ('!$G175</f>
        <v>-3.9900000000000091</v>
      </c>
    </row>
    <row r="176" spans="4:11" outlineLevel="1" x14ac:dyDescent="0.35">
      <c r="D176" s="9">
        <v>46034</v>
      </c>
      <c r="E176" s="10">
        <v>307.14999999999998</v>
      </c>
      <c r="F176" s="10">
        <v>302.14999999999998</v>
      </c>
      <c r="G176" s="10">
        <v>307.57</v>
      </c>
      <c r="H176" s="10">
        <v>302.14999999999998</v>
      </c>
      <c r="I176" s="11">
        <v>217.92</v>
      </c>
      <c r="J176" s="12">
        <v>1.6500000000000001E-2</v>
      </c>
      <c r="K176" s="10">
        <f>'Datos históricos de Credicorp ('!$F176-'Datos históricos de Credicorp ('!$G176</f>
        <v>-5.4200000000000159</v>
      </c>
    </row>
    <row r="177" spans="4:11" outlineLevel="1" x14ac:dyDescent="0.35">
      <c r="D177" s="9">
        <v>46031</v>
      </c>
      <c r="E177" s="10">
        <v>302.14999999999998</v>
      </c>
      <c r="F177" s="10">
        <v>303.77999999999997</v>
      </c>
      <c r="G177" s="10">
        <v>305.89999999999998</v>
      </c>
      <c r="H177" s="10">
        <v>301</v>
      </c>
      <c r="I177" s="11">
        <v>379.99</v>
      </c>
      <c r="J177" s="12">
        <v>-5.5999999999999999E-3</v>
      </c>
      <c r="K177" s="10">
        <f>'Datos históricos de Credicorp ('!$F177-'Datos históricos de Credicorp ('!$G177</f>
        <v>-2.1200000000000045</v>
      </c>
    </row>
    <row r="178" spans="4:11" outlineLevel="1" x14ac:dyDescent="0.35">
      <c r="D178" s="9">
        <v>46030</v>
      </c>
      <c r="E178" s="10">
        <v>303.83999999999997</v>
      </c>
      <c r="F178" s="10">
        <v>294.05</v>
      </c>
      <c r="G178" s="10">
        <v>304.24</v>
      </c>
      <c r="H178" s="10">
        <v>294.05</v>
      </c>
      <c r="I178" s="11">
        <v>371.3</v>
      </c>
      <c r="J178" s="12">
        <v>3.4500000000000003E-2</v>
      </c>
      <c r="K178" s="10">
        <f>'Datos históricos de Credicorp ('!$F178-'Datos históricos de Credicorp ('!$G178</f>
        <v>-10.189999999999998</v>
      </c>
    </row>
    <row r="179" spans="4:11" outlineLevel="1" x14ac:dyDescent="0.35">
      <c r="D179" s="9">
        <v>46029</v>
      </c>
      <c r="E179" s="10">
        <v>293.7</v>
      </c>
      <c r="F179" s="10">
        <v>294</v>
      </c>
      <c r="G179" s="10">
        <v>296.10000000000002</v>
      </c>
      <c r="H179" s="10">
        <v>291</v>
      </c>
      <c r="I179" s="11">
        <v>369.49</v>
      </c>
      <c r="J179" s="12">
        <v>-6.7999999999999996E-3</v>
      </c>
      <c r="K179" s="10">
        <f>'Datos históricos de Credicorp ('!$F179-'Datos históricos de Credicorp ('!$G179</f>
        <v>-2.1000000000000227</v>
      </c>
    </row>
    <row r="180" spans="4:11" outlineLevel="1" x14ac:dyDescent="0.35">
      <c r="D180" s="9">
        <v>46028</v>
      </c>
      <c r="E180" s="10">
        <v>295.70999999999998</v>
      </c>
      <c r="F180" s="10">
        <v>295.07</v>
      </c>
      <c r="G180" s="10">
        <v>299.94</v>
      </c>
      <c r="H180" s="10">
        <v>294.49</v>
      </c>
      <c r="I180" s="11">
        <v>383.53</v>
      </c>
      <c r="J180" s="12">
        <v>1.0999999999999999E-2</v>
      </c>
      <c r="K180" s="10">
        <f>'Datos históricos de Credicorp ('!$F180-'Datos históricos de Credicorp ('!$G180</f>
        <v>-4.8700000000000045</v>
      </c>
    </row>
    <row r="181" spans="4:11" outlineLevel="1" x14ac:dyDescent="0.35">
      <c r="D181" s="9">
        <v>46027</v>
      </c>
      <c r="E181" s="10">
        <v>292.5</v>
      </c>
      <c r="F181" s="10">
        <v>287.77</v>
      </c>
      <c r="G181" s="10">
        <v>294.12</v>
      </c>
      <c r="H181" s="10">
        <v>287</v>
      </c>
      <c r="I181" s="11">
        <v>350.73</v>
      </c>
      <c r="J181" s="12">
        <v>2.1299999999999999E-2</v>
      </c>
      <c r="K181" s="10">
        <f>'Datos históricos de Credicorp ('!$F181-'Datos históricos de Credicorp ('!$G181</f>
        <v>-6.3500000000000227</v>
      </c>
    </row>
    <row r="182" spans="4:11" outlineLevel="1" x14ac:dyDescent="0.35">
      <c r="D182" s="9">
        <v>46024</v>
      </c>
      <c r="E182" s="10">
        <v>286.41000000000003</v>
      </c>
      <c r="F182" s="10">
        <v>288.75</v>
      </c>
      <c r="G182" s="10">
        <v>290.48</v>
      </c>
      <c r="H182" s="10">
        <v>284.76</v>
      </c>
      <c r="I182" s="11">
        <v>267.5</v>
      </c>
      <c r="J182" s="12">
        <v>-2.0999999999999999E-3</v>
      </c>
      <c r="K182" s="10">
        <f>'Datos históricos de Credicorp ('!$F182-'Datos históricos de Credicorp ('!$G182</f>
        <v>-1.7300000000000182</v>
      </c>
    </row>
    <row r="183" spans="4:11" outlineLevel="1" x14ac:dyDescent="0.35">
      <c r="D183" s="9">
        <v>46022</v>
      </c>
      <c r="E183" s="10">
        <v>287</v>
      </c>
      <c r="F183" s="10">
        <v>289.33</v>
      </c>
      <c r="G183" s="10">
        <v>289.99</v>
      </c>
      <c r="H183" s="10">
        <v>284.70999999999998</v>
      </c>
      <c r="I183" s="11">
        <v>294.89</v>
      </c>
      <c r="J183" s="12">
        <v>-1.03E-2</v>
      </c>
      <c r="K183" s="10">
        <f>'Datos históricos de Credicorp ('!$F183-'Datos históricos de Credicorp ('!$G183</f>
        <v>-0.66000000000002501</v>
      </c>
    </row>
    <row r="184" spans="4:11" outlineLevel="1" x14ac:dyDescent="0.35">
      <c r="D184" s="9">
        <v>46021</v>
      </c>
      <c r="E184" s="10">
        <v>290</v>
      </c>
      <c r="F184" s="10">
        <v>291.98</v>
      </c>
      <c r="G184" s="10">
        <v>291.98</v>
      </c>
      <c r="H184" s="10">
        <v>288.22000000000003</v>
      </c>
      <c r="I184" s="11">
        <v>239.36</v>
      </c>
      <c r="J184" s="12">
        <v>-3.5999999999999999E-3</v>
      </c>
      <c r="K184" s="10">
        <f>'Datos históricos de Credicorp ('!$F184-'Datos históricos de Credicorp ('!$G184</f>
        <v>0</v>
      </c>
    </row>
    <row r="185" spans="4:11" outlineLevel="1" x14ac:dyDescent="0.35">
      <c r="D185" s="9">
        <v>46020</v>
      </c>
      <c r="E185" s="10">
        <v>291.05</v>
      </c>
      <c r="F185" s="10">
        <v>291.5</v>
      </c>
      <c r="G185" s="10">
        <v>291.61</v>
      </c>
      <c r="H185" s="10">
        <v>287.43</v>
      </c>
      <c r="I185" s="11">
        <v>179.55</v>
      </c>
      <c r="J185" s="12">
        <v>-1.5E-3</v>
      </c>
      <c r="K185" s="10">
        <f>'Datos históricos de Credicorp ('!$F185-'Datos históricos de Credicorp ('!$G185</f>
        <v>-0.11000000000001364</v>
      </c>
    </row>
    <row r="186" spans="4:11" outlineLevel="1" x14ac:dyDescent="0.35">
      <c r="D186" s="9">
        <v>46017</v>
      </c>
      <c r="E186" s="10">
        <v>291.5</v>
      </c>
      <c r="F186" s="10">
        <v>290.07</v>
      </c>
      <c r="G186" s="10">
        <v>291.93</v>
      </c>
      <c r="H186" s="10">
        <v>289.08999999999997</v>
      </c>
      <c r="I186" s="11">
        <v>194.79</v>
      </c>
      <c r="J186" s="12">
        <v>7.1000000000000004E-3</v>
      </c>
      <c r="K186" s="10">
        <f>'Datos históricos de Credicorp ('!$F186-'Datos históricos de Credicorp ('!$G186</f>
        <v>-1.8600000000000136</v>
      </c>
    </row>
    <row r="187" spans="4:11" outlineLevel="1" x14ac:dyDescent="0.35">
      <c r="D187" s="9">
        <v>46015</v>
      </c>
      <c r="E187" s="10">
        <v>289.45</v>
      </c>
      <c r="F187" s="10">
        <v>288.36</v>
      </c>
      <c r="G187" s="10">
        <v>290.98</v>
      </c>
      <c r="H187" s="10">
        <v>288.36</v>
      </c>
      <c r="I187" s="11">
        <v>83.7</v>
      </c>
      <c r="J187" s="12">
        <v>1.6000000000000001E-3</v>
      </c>
      <c r="K187" s="10">
        <f>'Datos históricos de Credicorp ('!$F187-'Datos históricos de Credicorp ('!$G187</f>
        <v>-2.6200000000000045</v>
      </c>
    </row>
    <row r="188" spans="4:11" outlineLevel="1" x14ac:dyDescent="0.35">
      <c r="D188" s="9">
        <v>46014</v>
      </c>
      <c r="E188" s="10">
        <v>289</v>
      </c>
      <c r="F188" s="10">
        <v>291.10000000000002</v>
      </c>
      <c r="G188" s="10">
        <v>291.67</v>
      </c>
      <c r="H188" s="10">
        <v>286.7</v>
      </c>
      <c r="I188" s="11">
        <v>194.97</v>
      </c>
      <c r="J188" s="12">
        <v>-2.9999999999999997E-4</v>
      </c>
      <c r="K188" s="10">
        <f>'Datos históricos de Credicorp ('!$F188-'Datos históricos de Credicorp ('!$G188</f>
        <v>-0.56999999999999318</v>
      </c>
    </row>
    <row r="189" spans="4:11" outlineLevel="1" x14ac:dyDescent="0.35">
      <c r="D189" s="9">
        <v>46013</v>
      </c>
      <c r="E189" s="10">
        <v>289.08</v>
      </c>
      <c r="F189" s="10">
        <v>286.83999999999997</v>
      </c>
      <c r="G189" s="10">
        <v>292</v>
      </c>
      <c r="H189" s="10">
        <v>285.25</v>
      </c>
      <c r="I189" s="11">
        <v>297.13</v>
      </c>
      <c r="J189" s="12">
        <v>1.1599999999999999E-2</v>
      </c>
      <c r="K189" s="10">
        <f>'Datos históricos de Credicorp ('!$F189-'Datos históricos de Credicorp ('!$G189</f>
        <v>-5.160000000000025</v>
      </c>
    </row>
    <row r="190" spans="4:11" outlineLevel="1" x14ac:dyDescent="0.35">
      <c r="D190" s="9">
        <v>46010</v>
      </c>
      <c r="E190" s="10">
        <v>285.77</v>
      </c>
      <c r="F190" s="10">
        <v>281.63</v>
      </c>
      <c r="G190" s="10">
        <v>287.05</v>
      </c>
      <c r="H190" s="10">
        <v>281.63</v>
      </c>
      <c r="I190" s="11">
        <v>567.14</v>
      </c>
      <c r="J190" s="12">
        <v>1.7000000000000001E-2</v>
      </c>
      <c r="K190" s="10">
        <f>'Datos históricos de Credicorp ('!$F190-'Datos históricos de Credicorp ('!$G190</f>
        <v>-5.4200000000000159</v>
      </c>
    </row>
    <row r="191" spans="4:11" outlineLevel="1" x14ac:dyDescent="0.35">
      <c r="D191" s="9">
        <v>46009</v>
      </c>
      <c r="E191" s="10">
        <v>281</v>
      </c>
      <c r="F191" s="10">
        <v>276.20999999999998</v>
      </c>
      <c r="G191" s="10">
        <v>282.55</v>
      </c>
      <c r="H191" s="10">
        <v>275.67</v>
      </c>
      <c r="I191" s="11">
        <v>241.05</v>
      </c>
      <c r="J191" s="12">
        <v>1.9599999999999999E-2</v>
      </c>
      <c r="K191" s="10">
        <f>'Datos históricos de Credicorp ('!$F191-'Datos históricos de Credicorp ('!$G191</f>
        <v>-6.3400000000000318</v>
      </c>
    </row>
    <row r="192" spans="4:11" outlineLevel="1" x14ac:dyDescent="0.35">
      <c r="D192" s="9">
        <v>46008</v>
      </c>
      <c r="E192" s="10">
        <v>275.60000000000002</v>
      </c>
      <c r="F192" s="10">
        <v>275.60000000000002</v>
      </c>
      <c r="G192" s="10">
        <v>281.56</v>
      </c>
      <c r="H192" s="10">
        <v>272</v>
      </c>
      <c r="I192" s="11">
        <v>488.02</v>
      </c>
      <c r="J192" s="12">
        <v>-1.5699999999999999E-2</v>
      </c>
      <c r="K192" s="10">
        <f>'Datos históricos de Credicorp ('!$F192-'Datos históricos de Credicorp ('!$G192</f>
        <v>-5.9599999999999795</v>
      </c>
    </row>
    <row r="193" spans="4:11" outlineLevel="1" x14ac:dyDescent="0.35">
      <c r="D193" s="9">
        <v>46007</v>
      </c>
      <c r="E193" s="10">
        <v>280</v>
      </c>
      <c r="F193" s="10">
        <v>281.27999999999997</v>
      </c>
      <c r="G193" s="10">
        <v>284.76</v>
      </c>
      <c r="H193" s="10">
        <v>277.2</v>
      </c>
      <c r="I193" s="11">
        <v>290.83</v>
      </c>
      <c r="J193" s="12">
        <v>-7.9000000000000008E-3</v>
      </c>
      <c r="K193" s="10">
        <f>'Datos históricos de Credicorp ('!$F193-'Datos históricos de Credicorp ('!$G193</f>
        <v>-3.4800000000000182</v>
      </c>
    </row>
    <row r="194" spans="4:11" outlineLevel="1" x14ac:dyDescent="0.35">
      <c r="D194" s="9">
        <v>46006</v>
      </c>
      <c r="E194" s="10">
        <v>282.24</v>
      </c>
      <c r="F194" s="10">
        <v>283.97000000000003</v>
      </c>
      <c r="G194" s="10">
        <v>285.68</v>
      </c>
      <c r="H194" s="10">
        <v>281.29000000000002</v>
      </c>
      <c r="I194" s="11">
        <v>189.87</v>
      </c>
      <c r="J194" s="12">
        <v>-1E-3</v>
      </c>
      <c r="K194" s="10">
        <f>'Datos históricos de Credicorp ('!$F194-'Datos históricos de Credicorp ('!$G194</f>
        <v>-1.7099999999999795</v>
      </c>
    </row>
    <row r="195" spans="4:11" outlineLevel="1" x14ac:dyDescent="0.35">
      <c r="D195" s="9">
        <v>46003</v>
      </c>
      <c r="E195" s="10">
        <v>282.52999999999997</v>
      </c>
      <c r="F195" s="10">
        <v>282.52</v>
      </c>
      <c r="G195" s="10">
        <v>285.5</v>
      </c>
      <c r="H195" s="10">
        <v>281.20999999999998</v>
      </c>
      <c r="I195" s="11">
        <v>285.8</v>
      </c>
      <c r="J195" s="12">
        <v>3.3E-3</v>
      </c>
      <c r="K195" s="10">
        <f>'Datos históricos de Credicorp ('!$F195-'Datos históricos de Credicorp ('!$G195</f>
        <v>-2.9800000000000182</v>
      </c>
    </row>
    <row r="196" spans="4:11" outlineLevel="1" x14ac:dyDescent="0.35">
      <c r="D196" s="9">
        <v>46002</v>
      </c>
      <c r="E196" s="10">
        <v>281.61</v>
      </c>
      <c r="F196" s="10">
        <v>277.14999999999998</v>
      </c>
      <c r="G196" s="10">
        <v>284.79000000000002</v>
      </c>
      <c r="H196" s="10">
        <v>277.01</v>
      </c>
      <c r="I196" s="11">
        <v>440.18</v>
      </c>
      <c r="J196" s="12">
        <v>1.66E-2</v>
      </c>
      <c r="K196" s="10">
        <f>'Datos históricos de Credicorp ('!$F196-'Datos históricos de Credicorp ('!$G196</f>
        <v>-7.6400000000000432</v>
      </c>
    </row>
    <row r="197" spans="4:11" outlineLevel="1" x14ac:dyDescent="0.35">
      <c r="D197" s="9">
        <v>46001</v>
      </c>
      <c r="E197" s="10">
        <v>277</v>
      </c>
      <c r="F197" s="10">
        <v>275.88</v>
      </c>
      <c r="G197" s="10">
        <v>278.27</v>
      </c>
      <c r="H197" s="10">
        <v>275</v>
      </c>
      <c r="I197" s="11">
        <v>306.41000000000003</v>
      </c>
      <c r="J197" s="12">
        <v>2.5999999999999999E-3</v>
      </c>
      <c r="K197" s="10">
        <f>'Datos históricos de Credicorp ('!$F197-'Datos históricos de Credicorp ('!$G197</f>
        <v>-2.3899999999999864</v>
      </c>
    </row>
    <row r="198" spans="4:11" outlineLevel="1" x14ac:dyDescent="0.35">
      <c r="D198" s="9">
        <v>46000</v>
      </c>
      <c r="E198" s="10">
        <v>276.29000000000002</v>
      </c>
      <c r="F198" s="10">
        <v>268.81</v>
      </c>
      <c r="G198" s="10">
        <v>277.43</v>
      </c>
      <c r="H198" s="10">
        <v>268.01</v>
      </c>
      <c r="I198" s="11">
        <v>264.76</v>
      </c>
      <c r="J198" s="12">
        <v>2.58E-2</v>
      </c>
      <c r="K198" s="10">
        <f>'Datos históricos de Credicorp ('!$F198-'Datos históricos de Credicorp ('!$G198</f>
        <v>-8.6200000000000045</v>
      </c>
    </row>
    <row r="199" spans="4:11" outlineLevel="1" x14ac:dyDescent="0.35">
      <c r="D199" s="9">
        <v>45999</v>
      </c>
      <c r="E199" s="10">
        <v>269.33999999999997</v>
      </c>
      <c r="F199" s="10">
        <v>273.23</v>
      </c>
      <c r="G199" s="10">
        <v>273.8</v>
      </c>
      <c r="H199" s="10">
        <v>265.27</v>
      </c>
      <c r="I199" s="11">
        <v>200.52</v>
      </c>
      <c r="J199" s="12">
        <v>-1.09E-2</v>
      </c>
      <c r="K199" s="10">
        <f>'Datos históricos de Credicorp ('!$F199-'Datos históricos de Credicorp ('!$G199</f>
        <v>-0.56999999999999318</v>
      </c>
    </row>
    <row r="200" spans="4:11" outlineLevel="1" x14ac:dyDescent="0.35">
      <c r="D200" s="9">
        <v>45996</v>
      </c>
      <c r="E200" s="10">
        <v>272.3</v>
      </c>
      <c r="F200" s="10">
        <v>278.5</v>
      </c>
      <c r="G200" s="10">
        <v>280.56</v>
      </c>
      <c r="H200" s="10">
        <v>270.43</v>
      </c>
      <c r="I200" s="11">
        <v>323.10000000000002</v>
      </c>
      <c r="J200" s="12">
        <v>-1.9300000000000001E-2</v>
      </c>
      <c r="K200" s="10">
        <f>'Datos históricos de Credicorp ('!$F200-'Datos históricos de Credicorp ('!$G200</f>
        <v>-2.0600000000000023</v>
      </c>
    </row>
    <row r="201" spans="4:11" outlineLevel="1" x14ac:dyDescent="0.35">
      <c r="D201" s="9">
        <v>45995</v>
      </c>
      <c r="E201" s="10">
        <v>277.64999999999998</v>
      </c>
      <c r="F201" s="10">
        <v>265.08999999999997</v>
      </c>
      <c r="G201" s="10">
        <v>279.47000000000003</v>
      </c>
      <c r="H201" s="10">
        <v>264.39</v>
      </c>
      <c r="I201" s="11">
        <v>701.01</v>
      </c>
      <c r="J201" s="12">
        <v>5.5100000000000003E-2</v>
      </c>
      <c r="K201" s="10">
        <f>'Datos históricos de Credicorp ('!$F201-'Datos históricos de Credicorp ('!$G201</f>
        <v>-14.380000000000052</v>
      </c>
    </row>
    <row r="202" spans="4:11" outlineLevel="1" x14ac:dyDescent="0.35">
      <c r="D202" s="9">
        <v>45994</v>
      </c>
      <c r="E202" s="10">
        <v>263.16000000000003</v>
      </c>
      <c r="F202" s="10">
        <v>261.85000000000002</v>
      </c>
      <c r="G202" s="10">
        <v>264.3</v>
      </c>
      <c r="H202" s="10">
        <v>258.89</v>
      </c>
      <c r="I202" s="11">
        <v>302.83999999999997</v>
      </c>
      <c r="J202" s="12">
        <v>7.4000000000000003E-3</v>
      </c>
      <c r="K202" s="10">
        <f>'Datos históricos de Credicorp ('!$F202-'Datos históricos de Credicorp ('!$G202</f>
        <v>-2.4499999999999886</v>
      </c>
    </row>
    <row r="203" spans="4:11" outlineLevel="1" x14ac:dyDescent="0.35">
      <c r="D203" s="9">
        <v>45993</v>
      </c>
      <c r="E203" s="10">
        <v>261.23</v>
      </c>
      <c r="F203" s="10">
        <v>257.81</v>
      </c>
      <c r="G203" s="10">
        <v>263.51</v>
      </c>
      <c r="H203" s="10">
        <v>256.54000000000002</v>
      </c>
      <c r="I203" s="11">
        <v>454.99</v>
      </c>
      <c r="J203" s="12">
        <v>2.46E-2</v>
      </c>
      <c r="K203" s="10">
        <f>'Datos históricos de Credicorp ('!$F203-'Datos históricos de Credicorp ('!$G203</f>
        <v>-5.6999999999999886</v>
      </c>
    </row>
    <row r="204" spans="4:11" outlineLevel="1" x14ac:dyDescent="0.35">
      <c r="D204" s="9">
        <v>45992</v>
      </c>
      <c r="E204" s="10">
        <v>254.95</v>
      </c>
      <c r="F204" s="10">
        <v>257.69</v>
      </c>
      <c r="G204" s="10">
        <v>260.52</v>
      </c>
      <c r="H204" s="10">
        <v>254.43</v>
      </c>
      <c r="I204" s="11">
        <v>297.16000000000003</v>
      </c>
      <c r="J204" s="12">
        <v>-8.8000000000000005E-3</v>
      </c>
      <c r="K204" s="10">
        <f>'Datos históricos de Credicorp ('!$F204-'Datos históricos de Credicorp ('!$G204</f>
        <v>-2.8299999999999841</v>
      </c>
    </row>
    <row r="205" spans="4:11" outlineLevel="1" x14ac:dyDescent="0.35">
      <c r="D205" s="9">
        <v>45989</v>
      </c>
      <c r="E205" s="10">
        <v>257.20999999999998</v>
      </c>
      <c r="F205" s="10">
        <v>256.95</v>
      </c>
      <c r="G205" s="10">
        <v>260.38</v>
      </c>
      <c r="H205" s="10">
        <v>254.16</v>
      </c>
      <c r="I205" s="11">
        <v>241.89</v>
      </c>
      <c r="J205" s="12">
        <v>5.1999999999999998E-3</v>
      </c>
      <c r="K205" s="10">
        <f>'Datos históricos de Credicorp ('!$F205-'Datos históricos de Credicorp ('!$G205</f>
        <v>-3.4300000000000068</v>
      </c>
    </row>
    <row r="206" spans="4:11" outlineLevel="1" x14ac:dyDescent="0.35">
      <c r="D206" s="9">
        <v>45987</v>
      </c>
      <c r="E206" s="10">
        <v>255.87</v>
      </c>
      <c r="F206" s="10">
        <v>253.63</v>
      </c>
      <c r="G206" s="10">
        <v>257.7</v>
      </c>
      <c r="H206" s="10">
        <v>252.05</v>
      </c>
      <c r="I206" s="11">
        <v>352.84</v>
      </c>
      <c r="J206" s="12">
        <v>1.6799999999999999E-2</v>
      </c>
      <c r="K206" s="10">
        <f>'Datos históricos de Credicorp ('!$F206-'Datos históricos de Credicorp ('!$G206</f>
        <v>-4.0699999999999932</v>
      </c>
    </row>
    <row r="207" spans="4:11" outlineLevel="1" x14ac:dyDescent="0.35">
      <c r="D207" s="9">
        <v>45986</v>
      </c>
      <c r="E207" s="10">
        <v>251.65</v>
      </c>
      <c r="F207" s="10">
        <v>255.69</v>
      </c>
      <c r="G207" s="10">
        <v>257.05</v>
      </c>
      <c r="H207" s="10">
        <v>251.22</v>
      </c>
      <c r="I207" s="11">
        <v>256.07</v>
      </c>
      <c r="J207" s="12">
        <v>-8.3999999999999995E-3</v>
      </c>
      <c r="K207" s="10">
        <f>'Datos históricos de Credicorp ('!$F207-'Datos históricos de Credicorp ('!$G207</f>
        <v>-1.3600000000000136</v>
      </c>
    </row>
    <row r="208" spans="4:11" outlineLevel="1" x14ac:dyDescent="0.35">
      <c r="D208" s="9">
        <v>45985</v>
      </c>
      <c r="E208" s="10">
        <v>253.78</v>
      </c>
      <c r="F208" s="10">
        <v>251.65</v>
      </c>
      <c r="G208" s="10">
        <v>253.81</v>
      </c>
      <c r="H208" s="10">
        <v>247.71</v>
      </c>
      <c r="I208" s="11">
        <v>610.88</v>
      </c>
      <c r="J208" s="12">
        <v>2.3900000000000001E-2</v>
      </c>
      <c r="K208" s="10">
        <f>'Datos históricos de Credicorp ('!$F208-'Datos históricos de Credicorp ('!$G208</f>
        <v>-2.1599999999999966</v>
      </c>
    </row>
    <row r="209" spans="4:11" outlineLevel="1" x14ac:dyDescent="0.35">
      <c r="D209" s="9">
        <v>45982</v>
      </c>
      <c r="E209" s="10">
        <v>247.85</v>
      </c>
      <c r="F209" s="10">
        <v>240.3</v>
      </c>
      <c r="G209" s="10">
        <v>249.38</v>
      </c>
      <c r="H209" s="10">
        <v>240</v>
      </c>
      <c r="I209" s="11">
        <v>453.34</v>
      </c>
      <c r="J209" s="12">
        <v>-1.9E-3</v>
      </c>
      <c r="K209" s="10">
        <f>'Datos históricos de Credicorp ('!$F209-'Datos históricos de Credicorp ('!$G209</f>
        <v>-9.0799999999999841</v>
      </c>
    </row>
    <row r="210" spans="4:11" outlineLevel="1" x14ac:dyDescent="0.35">
      <c r="D210" s="9">
        <v>45981</v>
      </c>
      <c r="E210" s="10">
        <v>248.31</v>
      </c>
      <c r="F210" s="10">
        <v>258.10000000000002</v>
      </c>
      <c r="G210" s="10">
        <v>258.10000000000002</v>
      </c>
      <c r="H210" s="10">
        <v>247.74</v>
      </c>
      <c r="I210" s="11">
        <v>313.88</v>
      </c>
      <c r="J210" s="12">
        <v>-2.5100000000000001E-2</v>
      </c>
      <c r="K210" s="10">
        <f>'Datos históricos de Credicorp ('!$F210-'Datos históricos de Credicorp ('!$G210</f>
        <v>0</v>
      </c>
    </row>
    <row r="211" spans="4:11" outlineLevel="1" x14ac:dyDescent="0.35">
      <c r="D211" s="9">
        <v>45980</v>
      </c>
      <c r="E211" s="10">
        <v>254.7</v>
      </c>
      <c r="F211" s="10">
        <v>251.73</v>
      </c>
      <c r="G211" s="10">
        <v>255.62</v>
      </c>
      <c r="H211" s="10">
        <v>251.73</v>
      </c>
      <c r="I211" s="11">
        <v>189.29</v>
      </c>
      <c r="J211" s="12">
        <v>1.21E-2</v>
      </c>
      <c r="K211" s="10">
        <f>'Datos históricos de Credicorp ('!$F211-'Datos históricos de Credicorp ('!$G211</f>
        <v>-3.8900000000000148</v>
      </c>
    </row>
    <row r="212" spans="4:11" outlineLevel="1" x14ac:dyDescent="0.35">
      <c r="D212" s="9">
        <v>45979</v>
      </c>
      <c r="E212" s="10">
        <v>251.66</v>
      </c>
      <c r="F212" s="10">
        <v>249.37</v>
      </c>
      <c r="G212" s="10">
        <v>253.3</v>
      </c>
      <c r="H212" s="10">
        <v>248.49</v>
      </c>
      <c r="I212" s="11">
        <v>176.1</v>
      </c>
      <c r="J212" s="12">
        <v>4.7999999999999996E-3</v>
      </c>
      <c r="K212" s="10">
        <f>'Datos históricos de Credicorp ('!$F212-'Datos históricos de Credicorp ('!$G212</f>
        <v>-3.9300000000000068</v>
      </c>
    </row>
    <row r="213" spans="4:11" outlineLevel="1" x14ac:dyDescent="0.35">
      <c r="D213" s="9">
        <v>45978</v>
      </c>
      <c r="E213" s="10">
        <v>250.47</v>
      </c>
      <c r="F213" s="10">
        <v>252.04</v>
      </c>
      <c r="G213" s="10">
        <v>254.8</v>
      </c>
      <c r="H213" s="10">
        <v>248.85</v>
      </c>
      <c r="I213" s="11">
        <v>176.85</v>
      </c>
      <c r="J213" s="12">
        <v>-1.3100000000000001E-2</v>
      </c>
      <c r="K213" s="10">
        <f>'Datos históricos de Credicorp ('!$F213-'Datos históricos de Credicorp ('!$G213</f>
        <v>-2.7600000000000193</v>
      </c>
    </row>
    <row r="214" spans="4:11" outlineLevel="1" x14ac:dyDescent="0.35">
      <c r="D214" s="9">
        <v>45975</v>
      </c>
      <c r="E214" s="10">
        <v>253.8</v>
      </c>
      <c r="F214" s="10">
        <v>236.01</v>
      </c>
      <c r="G214" s="10">
        <v>260.24</v>
      </c>
      <c r="H214" s="10">
        <v>230.45</v>
      </c>
      <c r="I214" s="11">
        <v>357.76</v>
      </c>
      <c r="J214" s="12">
        <v>6.4999999999999997E-3</v>
      </c>
      <c r="K214" s="10">
        <f>'Datos históricos de Credicorp ('!$F214-'Datos históricos de Credicorp ('!$G214</f>
        <v>-24.230000000000018</v>
      </c>
    </row>
    <row r="215" spans="4:11" outlineLevel="1" x14ac:dyDescent="0.35">
      <c r="D215" s="9">
        <v>45974</v>
      </c>
      <c r="E215" s="10">
        <v>252.15</v>
      </c>
      <c r="F215" s="10">
        <v>262.17</v>
      </c>
      <c r="G215" s="10">
        <v>262.73</v>
      </c>
      <c r="H215" s="10">
        <v>251.29</v>
      </c>
      <c r="I215" s="11">
        <v>223.99</v>
      </c>
      <c r="J215" s="12">
        <v>-3.95E-2</v>
      </c>
      <c r="K215" s="10">
        <f>'Datos históricos de Credicorp ('!$F215-'Datos históricos de Credicorp ('!$G215</f>
        <v>-0.56000000000000227</v>
      </c>
    </row>
    <row r="216" spans="4:11" outlineLevel="1" x14ac:dyDescent="0.35">
      <c r="D216" s="9">
        <v>45973</v>
      </c>
      <c r="E216" s="10">
        <v>262.52</v>
      </c>
      <c r="F216" s="10">
        <v>259.01</v>
      </c>
      <c r="G216" s="10">
        <v>262.52</v>
      </c>
      <c r="H216" s="10">
        <v>258.27</v>
      </c>
      <c r="I216" s="11">
        <v>335.35</v>
      </c>
      <c r="J216" s="12">
        <v>1.6899999999999998E-2</v>
      </c>
      <c r="K216" s="10">
        <f>'Datos históricos de Credicorp ('!$F216-'Datos históricos de Credicorp ('!$G216</f>
        <v>-3.5099999999999909</v>
      </c>
    </row>
    <row r="217" spans="4:11" outlineLevel="1" x14ac:dyDescent="0.35">
      <c r="D217" s="9">
        <v>45972</v>
      </c>
      <c r="E217" s="10">
        <v>258.16000000000003</v>
      </c>
      <c r="F217" s="10">
        <v>259.95</v>
      </c>
      <c r="G217" s="10">
        <v>260.76</v>
      </c>
      <c r="H217" s="10">
        <v>258.05</v>
      </c>
      <c r="I217" s="11">
        <v>235.75</v>
      </c>
      <c r="J217" s="12">
        <v>-3.3E-3</v>
      </c>
      <c r="K217" s="10">
        <f>'Datos históricos de Credicorp ('!$F217-'Datos históricos de Credicorp ('!$G217</f>
        <v>-0.81000000000000227</v>
      </c>
    </row>
    <row r="218" spans="4:11" outlineLevel="1" x14ac:dyDescent="0.35">
      <c r="D218" s="9">
        <v>45971</v>
      </c>
      <c r="E218" s="10">
        <v>259.01</v>
      </c>
      <c r="F218" s="10">
        <v>261.18</v>
      </c>
      <c r="G218" s="10">
        <v>263.08</v>
      </c>
      <c r="H218" s="10">
        <v>256.93</v>
      </c>
      <c r="I218" s="11">
        <v>136.51</v>
      </c>
      <c r="J218" s="12">
        <v>-2E-3</v>
      </c>
      <c r="K218" s="10">
        <f>'Datos históricos de Credicorp ('!$F218-'Datos históricos de Credicorp ('!$G218</f>
        <v>-1.8999999999999773</v>
      </c>
    </row>
    <row r="219" spans="4:11" outlineLevel="1" x14ac:dyDescent="0.35">
      <c r="D219" s="9">
        <v>45968</v>
      </c>
      <c r="E219" s="10">
        <v>259.52</v>
      </c>
      <c r="F219" s="10">
        <v>258.08999999999997</v>
      </c>
      <c r="G219" s="10">
        <v>260.79000000000002</v>
      </c>
      <c r="H219" s="10">
        <v>255</v>
      </c>
      <c r="I219" s="11">
        <v>298.26</v>
      </c>
      <c r="J219" s="12">
        <v>2.5999999999999999E-3</v>
      </c>
      <c r="K219" s="10">
        <f>'Datos históricos de Credicorp ('!$F219-'Datos históricos de Credicorp ('!$G219</f>
        <v>-2.7000000000000455</v>
      </c>
    </row>
    <row r="220" spans="4:11" outlineLevel="1" x14ac:dyDescent="0.35">
      <c r="D220" s="9">
        <v>45967</v>
      </c>
      <c r="E220" s="10">
        <v>258.83999999999997</v>
      </c>
      <c r="F220" s="10">
        <v>260.32</v>
      </c>
      <c r="G220" s="10">
        <v>260.52</v>
      </c>
      <c r="H220" s="10">
        <v>256.02999999999997</v>
      </c>
      <c r="I220" s="11">
        <v>169.07</v>
      </c>
      <c r="J220" s="12">
        <v>1E-4</v>
      </c>
      <c r="K220" s="10">
        <f>'Datos históricos de Credicorp ('!$F220-'Datos históricos de Credicorp ('!$G220</f>
        <v>-0.19999999999998863</v>
      </c>
    </row>
    <row r="221" spans="4:11" outlineLevel="1" x14ac:dyDescent="0.35">
      <c r="D221" s="9">
        <v>45966</v>
      </c>
      <c r="E221" s="10">
        <v>258.82</v>
      </c>
      <c r="F221" s="10">
        <v>257.72000000000003</v>
      </c>
      <c r="G221" s="10">
        <v>260.87</v>
      </c>
      <c r="H221" s="10">
        <v>257.66000000000003</v>
      </c>
      <c r="I221" s="11">
        <v>188.62</v>
      </c>
      <c r="J221" s="12">
        <v>5.5999999999999999E-3</v>
      </c>
      <c r="K221" s="10">
        <f>'Datos históricos de Credicorp ('!$F221-'Datos históricos de Credicorp ('!$G221</f>
        <v>-3.1499999999999773</v>
      </c>
    </row>
    <row r="222" spans="4:11" outlineLevel="1" x14ac:dyDescent="0.35">
      <c r="D222" s="9">
        <v>45965</v>
      </c>
      <c r="E222" s="10">
        <v>257.38</v>
      </c>
      <c r="F222" s="10">
        <v>258.13</v>
      </c>
      <c r="G222" s="10">
        <v>263.01</v>
      </c>
      <c r="H222" s="10">
        <v>254.1</v>
      </c>
      <c r="I222" s="11">
        <v>178.1</v>
      </c>
      <c r="J222" s="12">
        <v>-1.18E-2</v>
      </c>
      <c r="K222" s="10">
        <f>'Datos históricos de Credicorp ('!$F222-'Datos históricos de Credicorp ('!$G222</f>
        <v>-4.8799999999999955</v>
      </c>
    </row>
    <row r="223" spans="4:11" outlineLevel="1" x14ac:dyDescent="0.35">
      <c r="D223" s="9">
        <v>45964</v>
      </c>
      <c r="E223" s="10">
        <v>260.45</v>
      </c>
      <c r="F223" s="10">
        <v>261.66000000000003</v>
      </c>
      <c r="G223" s="10">
        <v>262.63</v>
      </c>
      <c r="H223" s="10">
        <v>259.44</v>
      </c>
      <c r="I223" s="11">
        <v>148.61000000000001</v>
      </c>
      <c r="J223" s="12">
        <v>-2.0999999999999999E-3</v>
      </c>
      <c r="K223" s="10">
        <f>'Datos históricos de Credicorp ('!$F223-'Datos históricos de Credicorp ('!$G223</f>
        <v>-0.96999999999997044</v>
      </c>
    </row>
    <row r="224" spans="4:11" outlineLevel="1" x14ac:dyDescent="0.35">
      <c r="D224" s="9">
        <v>45961</v>
      </c>
      <c r="E224" s="10">
        <v>261</v>
      </c>
      <c r="F224" s="10">
        <v>258.77</v>
      </c>
      <c r="G224" s="10">
        <v>262.38</v>
      </c>
      <c r="H224" s="10">
        <v>258.77</v>
      </c>
      <c r="I224" s="11">
        <v>201.81</v>
      </c>
      <c r="J224" s="12">
        <v>3.8E-3</v>
      </c>
      <c r="K224" s="10">
        <f>'Datos históricos de Credicorp ('!$F224-'Datos históricos de Credicorp ('!$G224</f>
        <v>-3.6100000000000136</v>
      </c>
    </row>
    <row r="225" spans="4:11" outlineLevel="1" x14ac:dyDescent="0.35">
      <c r="D225" s="9">
        <v>45960</v>
      </c>
      <c r="E225" s="10">
        <v>260</v>
      </c>
      <c r="F225" s="10">
        <v>262.2</v>
      </c>
      <c r="G225" s="10">
        <v>262.88</v>
      </c>
      <c r="H225" s="10">
        <v>259.47000000000003</v>
      </c>
      <c r="I225" s="11">
        <v>255.86</v>
      </c>
      <c r="J225" s="12">
        <v>-1.2800000000000001E-2</v>
      </c>
      <c r="K225" s="10">
        <f>'Datos históricos de Credicorp ('!$F225-'Datos históricos de Credicorp ('!$G225</f>
        <v>-0.68000000000000682</v>
      </c>
    </row>
    <row r="226" spans="4:11" outlineLevel="1" x14ac:dyDescent="0.35">
      <c r="D226" s="9">
        <v>45959</v>
      </c>
      <c r="E226" s="10">
        <v>263.36</v>
      </c>
      <c r="F226" s="10">
        <v>260</v>
      </c>
      <c r="G226" s="10">
        <v>264.74</v>
      </c>
      <c r="H226" s="10">
        <v>259.37</v>
      </c>
      <c r="I226" s="11">
        <v>313.52999999999997</v>
      </c>
      <c r="J226" s="12">
        <v>1.1599999999999999E-2</v>
      </c>
      <c r="K226" s="10">
        <f>'Datos históricos de Credicorp ('!$F226-'Datos históricos de Credicorp ('!$G226</f>
        <v>-4.7400000000000091</v>
      </c>
    </row>
    <row r="227" spans="4:11" outlineLevel="1" x14ac:dyDescent="0.35">
      <c r="D227" s="9">
        <v>45958</v>
      </c>
      <c r="E227" s="10">
        <v>260.33999999999997</v>
      </c>
      <c r="F227" s="10">
        <v>257.73</v>
      </c>
      <c r="G227" s="10">
        <v>262.93</v>
      </c>
      <c r="H227" s="10">
        <v>256.61</v>
      </c>
      <c r="I227" s="11">
        <v>273.17</v>
      </c>
      <c r="J227" s="12">
        <v>1.4999999999999999E-2</v>
      </c>
      <c r="K227" s="10">
        <f>'Datos históricos de Credicorp ('!$F227-'Datos históricos de Credicorp ('!$G227</f>
        <v>-5.1999999999999886</v>
      </c>
    </row>
    <row r="228" spans="4:11" outlineLevel="1" x14ac:dyDescent="0.35">
      <c r="D228" s="9">
        <v>45957</v>
      </c>
      <c r="E228" s="10">
        <v>256.49</v>
      </c>
      <c r="F228" s="10">
        <v>258.26</v>
      </c>
      <c r="G228" s="10">
        <v>259.47000000000003</v>
      </c>
      <c r="H228" s="10">
        <v>255.45</v>
      </c>
      <c r="I228" s="11">
        <v>221.88</v>
      </c>
      <c r="J228" s="12">
        <v>-1.1999999999999999E-3</v>
      </c>
      <c r="K228" s="10">
        <f>'Datos históricos de Credicorp ('!$F228-'Datos históricos de Credicorp ('!$G228</f>
        <v>-1.2100000000000364</v>
      </c>
    </row>
    <row r="229" spans="4:11" outlineLevel="1" x14ac:dyDescent="0.35">
      <c r="D229" s="9">
        <v>45954</v>
      </c>
      <c r="E229" s="10">
        <v>256.8</v>
      </c>
      <c r="F229" s="10">
        <v>258.42</v>
      </c>
      <c r="G229" s="10">
        <v>260.14999999999998</v>
      </c>
      <c r="H229" s="10">
        <v>256.8</v>
      </c>
      <c r="I229" s="11">
        <v>131.09</v>
      </c>
      <c r="J229" s="12">
        <v>-4.4000000000000003E-3</v>
      </c>
      <c r="K229" s="10">
        <f>'Datos históricos de Credicorp ('!$F229-'Datos históricos de Credicorp ('!$G229</f>
        <v>-1.7299999999999613</v>
      </c>
    </row>
    <row r="230" spans="4:11" outlineLevel="1" x14ac:dyDescent="0.35">
      <c r="D230" s="9">
        <v>45953</v>
      </c>
      <c r="E230" s="10">
        <v>257.93</v>
      </c>
      <c r="F230" s="10">
        <v>256.23</v>
      </c>
      <c r="G230" s="10">
        <v>258.23</v>
      </c>
      <c r="H230" s="10">
        <v>254.37</v>
      </c>
      <c r="I230" s="11">
        <v>269.83999999999997</v>
      </c>
      <c r="J230" s="12">
        <v>1.9300000000000001E-2</v>
      </c>
      <c r="K230" s="10">
        <f>'Datos históricos de Credicorp ('!$F230-'Datos históricos de Credicorp ('!$G230</f>
        <v>-2</v>
      </c>
    </row>
    <row r="231" spans="4:11" outlineLevel="1" x14ac:dyDescent="0.35">
      <c r="D231" s="9">
        <v>45952</v>
      </c>
      <c r="E231" s="10">
        <v>253.04</v>
      </c>
      <c r="F231" s="10">
        <v>255</v>
      </c>
      <c r="G231" s="10">
        <v>256.2</v>
      </c>
      <c r="H231" s="10">
        <v>250.49</v>
      </c>
      <c r="I231" s="11">
        <v>134.05000000000001</v>
      </c>
      <c r="J231" s="12">
        <v>-3.2000000000000002E-3</v>
      </c>
      <c r="K231" s="10">
        <f>'Datos históricos de Credicorp ('!$F231-'Datos históricos de Credicorp ('!$G231</f>
        <v>-1.1999999999999886</v>
      </c>
    </row>
    <row r="232" spans="4:11" outlineLevel="1" x14ac:dyDescent="0.35">
      <c r="D232" s="9">
        <v>45951</v>
      </c>
      <c r="E232" s="10">
        <v>253.85</v>
      </c>
      <c r="F232" s="10">
        <v>252.46</v>
      </c>
      <c r="G232" s="10">
        <v>255.13</v>
      </c>
      <c r="H232" s="10">
        <v>252.17</v>
      </c>
      <c r="I232" s="11">
        <v>223.38</v>
      </c>
      <c r="J232" s="12">
        <v>1.1000000000000001E-3</v>
      </c>
      <c r="K232" s="10">
        <f>'Datos históricos de Credicorp ('!$F232-'Datos históricos de Credicorp ('!$G232</f>
        <v>-2.6699999999999875</v>
      </c>
    </row>
    <row r="233" spans="4:11" outlineLevel="1" x14ac:dyDescent="0.35">
      <c r="D233" s="9">
        <v>45950</v>
      </c>
      <c r="E233" s="10">
        <v>253.57</v>
      </c>
      <c r="F233" s="10">
        <v>255.59</v>
      </c>
      <c r="G233" s="10">
        <v>258.26</v>
      </c>
      <c r="H233" s="10">
        <v>252.92</v>
      </c>
      <c r="I233" s="11">
        <v>249.16</v>
      </c>
      <c r="J233" s="12">
        <v>-1.9E-3</v>
      </c>
      <c r="K233" s="10">
        <f>'Datos históricos de Credicorp ('!$F233-'Datos históricos de Credicorp ('!$G233</f>
        <v>-2.6699999999999875</v>
      </c>
    </row>
    <row r="234" spans="4:11" outlineLevel="1" x14ac:dyDescent="0.35">
      <c r="D234" s="9">
        <v>45947</v>
      </c>
      <c r="E234" s="10">
        <v>254.06</v>
      </c>
      <c r="F234" s="10">
        <v>251.57</v>
      </c>
      <c r="G234" s="10">
        <v>256.95</v>
      </c>
      <c r="H234" s="10">
        <v>249.55</v>
      </c>
      <c r="I234" s="11">
        <v>402.85</v>
      </c>
      <c r="J234" s="12">
        <v>5.5999999999999999E-3</v>
      </c>
      <c r="K234" s="10">
        <f>'Datos históricos de Credicorp ('!$F234-'Datos históricos de Credicorp ('!$G234</f>
        <v>-5.3799999999999955</v>
      </c>
    </row>
    <row r="235" spans="4:11" outlineLevel="1" x14ac:dyDescent="0.35">
      <c r="D235" s="9">
        <v>45946</v>
      </c>
      <c r="E235" s="10">
        <v>252.65</v>
      </c>
      <c r="F235" s="10">
        <v>254.9</v>
      </c>
      <c r="G235" s="10">
        <v>256.07</v>
      </c>
      <c r="H235" s="10">
        <v>249.9</v>
      </c>
      <c r="I235" s="11">
        <v>368.66</v>
      </c>
      <c r="J235" s="12">
        <v>-8.8000000000000005E-3</v>
      </c>
      <c r="K235" s="10">
        <f>'Datos históricos de Credicorp ('!$F235-'Datos históricos de Credicorp ('!$G235</f>
        <v>-1.1699999999999875</v>
      </c>
    </row>
    <row r="236" spans="4:11" outlineLevel="1" x14ac:dyDescent="0.35">
      <c r="D236" s="9">
        <v>45945</v>
      </c>
      <c r="E236" s="10">
        <v>254.9</v>
      </c>
      <c r="F236" s="10">
        <v>256.18</v>
      </c>
      <c r="G236" s="10">
        <v>258.58</v>
      </c>
      <c r="H236" s="10">
        <v>253.66</v>
      </c>
      <c r="I236" s="11">
        <v>280.79000000000002</v>
      </c>
      <c r="J236" s="12">
        <v>3.7000000000000002E-3</v>
      </c>
      <c r="K236" s="10">
        <f>'Datos históricos de Credicorp ('!$F236-'Datos históricos de Credicorp ('!$G236</f>
        <v>-2.3999999999999773</v>
      </c>
    </row>
    <row r="237" spans="4:11" outlineLevel="1" x14ac:dyDescent="0.35">
      <c r="D237" s="9">
        <v>45944</v>
      </c>
      <c r="E237" s="10">
        <v>253.95</v>
      </c>
      <c r="F237" s="10">
        <v>258.2</v>
      </c>
      <c r="G237" s="10">
        <v>260.20999999999998</v>
      </c>
      <c r="H237" s="10">
        <v>253.67</v>
      </c>
      <c r="I237" s="11">
        <v>442.25</v>
      </c>
      <c r="J237" s="12">
        <v>-1.5699999999999999E-2</v>
      </c>
      <c r="K237" s="10">
        <f>'Datos históricos de Credicorp ('!$F237-'Datos históricos de Credicorp ('!$G237</f>
        <v>-2.0099999999999909</v>
      </c>
    </row>
    <row r="238" spans="4:11" outlineLevel="1" x14ac:dyDescent="0.35">
      <c r="D238" s="9">
        <v>45943</v>
      </c>
      <c r="E238" s="10">
        <v>258</v>
      </c>
      <c r="F238" s="10">
        <v>257.62</v>
      </c>
      <c r="G238" s="10">
        <v>262.26</v>
      </c>
      <c r="H238" s="10">
        <v>255.1</v>
      </c>
      <c r="I238" s="11">
        <v>361.52</v>
      </c>
      <c r="J238" s="12">
        <v>1.18E-2</v>
      </c>
      <c r="K238" s="10">
        <f>'Datos históricos de Credicorp ('!$F238-'Datos históricos de Credicorp ('!$G238</f>
        <v>-4.6399999999999864</v>
      </c>
    </row>
    <row r="239" spans="4:11" outlineLevel="1" x14ac:dyDescent="0.35">
      <c r="D239" s="9">
        <v>45940</v>
      </c>
      <c r="E239" s="10">
        <v>254.99</v>
      </c>
      <c r="F239" s="10">
        <v>260.52</v>
      </c>
      <c r="G239" s="10">
        <v>261.2</v>
      </c>
      <c r="H239" s="10">
        <v>253.4</v>
      </c>
      <c r="I239" s="11">
        <v>465.13</v>
      </c>
      <c r="J239" s="12">
        <v>-2.3900000000000001E-2</v>
      </c>
      <c r="K239" s="10">
        <f>'Datos históricos de Credicorp ('!$F239-'Datos históricos de Credicorp ('!$G239</f>
        <v>-0.68000000000000682</v>
      </c>
    </row>
    <row r="240" spans="4:11" outlineLevel="1" x14ac:dyDescent="0.35">
      <c r="D240" s="9">
        <v>45939</v>
      </c>
      <c r="E240" s="10">
        <v>261.24</v>
      </c>
      <c r="F240" s="10">
        <v>264.55</v>
      </c>
      <c r="G240" s="10">
        <v>265.39999999999998</v>
      </c>
      <c r="H240" s="10">
        <v>261.12</v>
      </c>
      <c r="I240" s="11">
        <v>228.3</v>
      </c>
      <c r="J240" s="12">
        <v>-1.23E-2</v>
      </c>
      <c r="K240" s="10">
        <f>'Datos históricos de Credicorp ('!$F240-'Datos históricos de Credicorp ('!$G240</f>
        <v>-0.84999999999996589</v>
      </c>
    </row>
    <row r="241" spans="4:11" outlineLevel="1" x14ac:dyDescent="0.35">
      <c r="D241" s="9">
        <v>45938</v>
      </c>
      <c r="E241" s="10">
        <v>264.5</v>
      </c>
      <c r="F241" s="10">
        <v>263.36</v>
      </c>
      <c r="G241" s="10">
        <v>266.49</v>
      </c>
      <c r="H241" s="10">
        <v>261.93</v>
      </c>
      <c r="I241" s="11">
        <v>156.12</v>
      </c>
      <c r="J241" s="12">
        <v>7.1999999999999998E-3</v>
      </c>
      <c r="K241" s="10">
        <f>'Datos históricos de Credicorp ('!$F241-'Datos históricos de Credicorp ('!$G241</f>
        <v>-3.1299999999999955</v>
      </c>
    </row>
    <row r="242" spans="4:11" outlineLevel="1" x14ac:dyDescent="0.35">
      <c r="D242" s="9">
        <v>45937</v>
      </c>
      <c r="E242" s="10">
        <v>262.62</v>
      </c>
      <c r="F242" s="10">
        <v>265.16000000000003</v>
      </c>
      <c r="G242" s="10">
        <v>266.92</v>
      </c>
      <c r="H242" s="10">
        <v>262.31</v>
      </c>
      <c r="I242" s="11">
        <v>141.94999999999999</v>
      </c>
      <c r="J242" s="12">
        <v>-7.7999999999999996E-3</v>
      </c>
      <c r="K242" s="10">
        <f>'Datos históricos de Credicorp ('!$F242-'Datos históricos de Credicorp ('!$G242</f>
        <v>-1.7599999999999909</v>
      </c>
    </row>
    <row r="243" spans="4:11" outlineLevel="1" x14ac:dyDescent="0.35">
      <c r="D243" s="9">
        <v>45936</v>
      </c>
      <c r="E243" s="10">
        <v>264.69</v>
      </c>
      <c r="F243" s="10">
        <v>265.26</v>
      </c>
      <c r="G243" s="10">
        <v>266.33</v>
      </c>
      <c r="H243" s="10">
        <v>261.58</v>
      </c>
      <c r="I243" s="11">
        <v>142.69999999999999</v>
      </c>
      <c r="J243" s="12">
        <v>-5.5999999999999999E-3</v>
      </c>
      <c r="K243" s="10">
        <f>'Datos históricos de Credicorp ('!$F243-'Datos históricos de Credicorp ('!$G243</f>
        <v>-1.0699999999999932</v>
      </c>
    </row>
    <row r="244" spans="4:11" outlineLevel="1" x14ac:dyDescent="0.35">
      <c r="D244" s="9">
        <v>45933</v>
      </c>
      <c r="E244" s="10">
        <v>266.19</v>
      </c>
      <c r="F244" s="10">
        <v>259.68</v>
      </c>
      <c r="G244" s="10">
        <v>266.39</v>
      </c>
      <c r="H244" s="10">
        <v>257.39999999999998</v>
      </c>
      <c r="I244" s="11">
        <v>353.11</v>
      </c>
      <c r="J244" s="12">
        <v>2.7400000000000001E-2</v>
      </c>
      <c r="K244" s="10">
        <f>'Datos históricos de Credicorp ('!$F244-'Datos históricos de Credicorp ('!$G244</f>
        <v>-6.7099999999999795</v>
      </c>
    </row>
    <row r="245" spans="4:11" outlineLevel="1" x14ac:dyDescent="0.35">
      <c r="D245" s="9">
        <v>45932</v>
      </c>
      <c r="E245" s="10">
        <v>259.08999999999997</v>
      </c>
      <c r="F245" s="10">
        <v>261.89</v>
      </c>
      <c r="G245" s="10">
        <v>263.14</v>
      </c>
      <c r="H245" s="10">
        <v>256.63</v>
      </c>
      <c r="I245" s="11">
        <v>279.22000000000003</v>
      </c>
      <c r="J245" s="12">
        <v>-1.1900000000000001E-2</v>
      </c>
      <c r="K245" s="10">
        <f>'Datos históricos de Credicorp ('!$F245-'Datos históricos de Credicorp ('!$G245</f>
        <v>-1.25</v>
      </c>
    </row>
    <row r="246" spans="4:11" outlineLevel="1" x14ac:dyDescent="0.35">
      <c r="D246" s="9">
        <v>45931</v>
      </c>
      <c r="E246" s="10">
        <v>262.2</v>
      </c>
      <c r="F246" s="10">
        <v>267.94</v>
      </c>
      <c r="G246" s="10">
        <v>268.56</v>
      </c>
      <c r="H246" s="10">
        <v>260</v>
      </c>
      <c r="I246" s="11">
        <v>525.83000000000004</v>
      </c>
      <c r="J246" s="12">
        <v>-1.5299999999999999E-2</v>
      </c>
      <c r="K246" s="10">
        <f>'Datos históricos de Credicorp ('!$F246-'Datos históricos de Credicorp ('!$G246</f>
        <v>-0.62000000000000455</v>
      </c>
    </row>
    <row r="247" spans="4:11" outlineLevel="1" x14ac:dyDescent="0.35">
      <c r="D247" s="9">
        <v>45930</v>
      </c>
      <c r="E247" s="10">
        <v>266.27999999999997</v>
      </c>
      <c r="F247" s="10">
        <v>268.54000000000002</v>
      </c>
      <c r="G247" s="10">
        <v>271.33999999999997</v>
      </c>
      <c r="H247" s="10">
        <v>262.74</v>
      </c>
      <c r="I247" s="11">
        <v>461.54</v>
      </c>
      <c r="J247" s="12">
        <v>-4.4000000000000003E-3</v>
      </c>
      <c r="K247" s="10">
        <f>'Datos históricos de Credicorp ('!$F247-'Datos históricos de Credicorp ('!$G247</f>
        <v>-2.7999999999999545</v>
      </c>
    </row>
    <row r="248" spans="4:11" outlineLevel="1" x14ac:dyDescent="0.35">
      <c r="D248" s="9">
        <v>45929</v>
      </c>
      <c r="E248" s="10">
        <v>267.47000000000003</v>
      </c>
      <c r="F248" s="10">
        <v>264.83999999999997</v>
      </c>
      <c r="G248" s="10">
        <v>268.92</v>
      </c>
      <c r="H248" s="10">
        <v>263.58</v>
      </c>
      <c r="I248" s="11">
        <v>516.4</v>
      </c>
      <c r="J248" s="12">
        <v>1.4500000000000001E-2</v>
      </c>
      <c r="K248" s="10">
        <f>'Datos históricos de Credicorp ('!$F248-'Datos históricos de Credicorp ('!$G248</f>
        <v>-4.0800000000000409</v>
      </c>
    </row>
    <row r="249" spans="4:11" outlineLevel="1" x14ac:dyDescent="0.35">
      <c r="D249" s="9">
        <v>45926</v>
      </c>
      <c r="E249" s="10">
        <v>263.66000000000003</v>
      </c>
      <c r="F249" s="10">
        <v>265.25</v>
      </c>
      <c r="G249" s="10">
        <v>265.95</v>
      </c>
      <c r="H249" s="10">
        <v>262.67</v>
      </c>
      <c r="I249" s="11">
        <v>177.62</v>
      </c>
      <c r="J249" s="12">
        <v>3.5000000000000001E-3</v>
      </c>
      <c r="K249" s="10">
        <f>'Datos históricos de Credicorp ('!$F249-'Datos históricos de Credicorp ('!$G249</f>
        <v>-0.69999999999998863</v>
      </c>
    </row>
    <row r="250" spans="4:11" outlineLevel="1" x14ac:dyDescent="0.35">
      <c r="D250" s="9">
        <v>45925</v>
      </c>
      <c r="E250" s="10">
        <v>262.74</v>
      </c>
      <c r="F250" s="10">
        <v>267</v>
      </c>
      <c r="G250" s="10">
        <v>269</v>
      </c>
      <c r="H250" s="10">
        <v>261.86</v>
      </c>
      <c r="I250" s="11">
        <v>181.05</v>
      </c>
      <c r="J250" s="12">
        <v>-1.2699999999999999E-2</v>
      </c>
      <c r="K250" s="10">
        <f>'Datos históricos de Credicorp ('!$F250-'Datos históricos de Credicorp ('!$G250</f>
        <v>-2</v>
      </c>
    </row>
    <row r="251" spans="4:11" outlineLevel="1" x14ac:dyDescent="0.35">
      <c r="D251" s="9">
        <v>45924</v>
      </c>
      <c r="E251" s="10">
        <v>266.11</v>
      </c>
      <c r="F251" s="10">
        <v>266.72000000000003</v>
      </c>
      <c r="G251" s="10">
        <v>268.98</v>
      </c>
      <c r="H251" s="10">
        <v>264.39</v>
      </c>
      <c r="I251" s="11">
        <v>276.98</v>
      </c>
      <c r="J251" s="12">
        <v>2.0999999999999999E-3</v>
      </c>
      <c r="K251" s="10">
        <f>'Datos históricos de Credicorp ('!$F251-'Datos históricos de Credicorp ('!$G251</f>
        <v>-2.2599999999999909</v>
      </c>
    </row>
    <row r="252" spans="4:11" outlineLevel="1" x14ac:dyDescent="0.35">
      <c r="D252" s="9">
        <v>45923</v>
      </c>
      <c r="E252" s="10">
        <v>265.55</v>
      </c>
      <c r="F252" s="10">
        <v>267.2</v>
      </c>
      <c r="G252" s="10">
        <v>269.89</v>
      </c>
      <c r="H252" s="10">
        <v>264.39</v>
      </c>
      <c r="I252" s="11">
        <v>195.97</v>
      </c>
      <c r="J252" s="12">
        <v>-4.5999999999999999E-3</v>
      </c>
      <c r="K252" s="10">
        <f>'Datos históricos de Credicorp ('!$F252-'Datos históricos de Credicorp ('!$G252</f>
        <v>-2.6899999999999977</v>
      </c>
    </row>
    <row r="253" spans="4:11" outlineLevel="1" x14ac:dyDescent="0.35">
      <c r="D253" s="9">
        <v>45922</v>
      </c>
      <c r="E253" s="10">
        <v>266.77</v>
      </c>
      <c r="F253" s="10">
        <v>262.74</v>
      </c>
      <c r="G253" s="10">
        <v>267.27</v>
      </c>
      <c r="H253" s="10">
        <v>262.36</v>
      </c>
      <c r="I253" s="11">
        <v>222.32</v>
      </c>
      <c r="J253" s="12">
        <v>1.5800000000000002E-2</v>
      </c>
      <c r="K253" s="10">
        <f>'Datos históricos de Credicorp ('!$F253-'Datos históricos de Credicorp ('!$G253</f>
        <v>-4.5299999999999727</v>
      </c>
    </row>
    <row r="254" spans="4:11" outlineLevel="1" x14ac:dyDescent="0.35">
      <c r="D254" s="9">
        <v>45919</v>
      </c>
      <c r="E254" s="10">
        <v>262.61</v>
      </c>
      <c r="F254" s="10">
        <v>262.27999999999997</v>
      </c>
      <c r="G254" s="10">
        <v>263.64</v>
      </c>
      <c r="H254" s="10">
        <v>258.82</v>
      </c>
      <c r="I254" s="11">
        <v>512.58000000000004</v>
      </c>
      <c r="J254" s="12">
        <v>2.7000000000000001E-3</v>
      </c>
      <c r="K254" s="10">
        <f>'Datos históricos de Credicorp ('!$F254-'Datos históricos de Credicorp ('!$G254</f>
        <v>-1.3600000000000136</v>
      </c>
    </row>
    <row r="255" spans="4:11" outlineLevel="1" x14ac:dyDescent="0.35">
      <c r="D255" s="9">
        <v>45918</v>
      </c>
      <c r="E255" s="10">
        <v>261.91000000000003</v>
      </c>
      <c r="F255" s="10">
        <v>276.42</v>
      </c>
      <c r="G255" s="10">
        <v>277.92</v>
      </c>
      <c r="H255" s="10">
        <v>260.39999999999998</v>
      </c>
      <c r="I255" s="11">
        <v>769.29</v>
      </c>
      <c r="J255" s="12">
        <v>-5.8900000000000001E-2</v>
      </c>
      <c r="K255" s="10">
        <f>'Datos históricos de Credicorp ('!$F255-'Datos históricos de Credicorp ('!$G255</f>
        <v>-1.5</v>
      </c>
    </row>
    <row r="256" spans="4:11" outlineLevel="1" x14ac:dyDescent="0.35">
      <c r="D256" s="9">
        <v>45917</v>
      </c>
      <c r="E256" s="10">
        <v>278.29000000000002</v>
      </c>
      <c r="F256" s="10">
        <v>274.56</v>
      </c>
      <c r="G256" s="10">
        <v>280.88</v>
      </c>
      <c r="H256" s="10">
        <v>272.55</v>
      </c>
      <c r="I256" s="11">
        <v>569.6</v>
      </c>
      <c r="J256" s="12">
        <v>2.7699999999999999E-2</v>
      </c>
      <c r="K256" s="10">
        <f>'Datos históricos de Credicorp ('!$F256-'Datos históricos de Credicorp ('!$G256</f>
        <v>-6.3199999999999932</v>
      </c>
    </row>
    <row r="257" spans="4:11" outlineLevel="1" x14ac:dyDescent="0.35">
      <c r="D257" s="9">
        <v>45916</v>
      </c>
      <c r="E257" s="10">
        <v>270.79000000000002</v>
      </c>
      <c r="F257" s="10">
        <v>266.08</v>
      </c>
      <c r="G257" s="10">
        <v>271.99</v>
      </c>
      <c r="H257" s="10">
        <v>264.24</v>
      </c>
      <c r="I257" s="11">
        <v>322.20999999999998</v>
      </c>
      <c r="J257" s="12">
        <v>1.9400000000000001E-2</v>
      </c>
      <c r="K257" s="10">
        <f>'Datos históricos de Credicorp ('!$F257-'Datos históricos de Credicorp ('!$G257</f>
        <v>-5.910000000000025</v>
      </c>
    </row>
    <row r="258" spans="4:11" outlineLevel="1" x14ac:dyDescent="0.35">
      <c r="D258" s="9">
        <v>45915</v>
      </c>
      <c r="E258" s="10">
        <v>265.64</v>
      </c>
      <c r="F258" s="10">
        <v>267.76</v>
      </c>
      <c r="G258" s="10">
        <v>268.42</v>
      </c>
      <c r="H258" s="10">
        <v>265.39999999999998</v>
      </c>
      <c r="I258" s="11">
        <v>189.22</v>
      </c>
      <c r="J258" s="12">
        <v>-1.6000000000000001E-3</v>
      </c>
      <c r="K258" s="10">
        <f>'Datos históricos de Credicorp ('!$F258-'Datos históricos de Credicorp ('!$G258</f>
        <v>-0.66000000000002501</v>
      </c>
    </row>
    <row r="259" spans="4:11" outlineLevel="1" x14ac:dyDescent="0.35">
      <c r="D259" s="9">
        <v>45912</v>
      </c>
      <c r="E259" s="10">
        <v>266.06</v>
      </c>
      <c r="F259" s="10">
        <v>266.61</v>
      </c>
      <c r="G259" s="10">
        <v>267.52</v>
      </c>
      <c r="H259" s="10">
        <v>264.33</v>
      </c>
      <c r="I259" s="11">
        <v>318.58999999999997</v>
      </c>
      <c r="J259" s="12">
        <v>-2E-3</v>
      </c>
      <c r="K259" s="10">
        <f>'Datos históricos de Credicorp ('!$F259-'Datos históricos de Credicorp ('!$G259</f>
        <v>-0.90999999999996817</v>
      </c>
    </row>
    <row r="260" spans="4:11" outlineLevel="1" x14ac:dyDescent="0.35">
      <c r="D260" s="9">
        <v>45911</v>
      </c>
      <c r="E260" s="10">
        <v>266.58999999999997</v>
      </c>
      <c r="F260" s="10">
        <v>264.74</v>
      </c>
      <c r="G260" s="10">
        <v>267.02</v>
      </c>
      <c r="H260" s="10">
        <v>262.31</v>
      </c>
      <c r="I260" s="11">
        <v>457.23</v>
      </c>
      <c r="J260" s="12">
        <v>9.1000000000000004E-3</v>
      </c>
      <c r="K260" s="10">
        <f>'Datos históricos de Credicorp ('!$F260-'Datos históricos de Credicorp ('!$G260</f>
        <v>-2.2799999999999727</v>
      </c>
    </row>
    <row r="261" spans="4:11" outlineLevel="1" x14ac:dyDescent="0.35">
      <c r="D261" s="9">
        <v>45910</v>
      </c>
      <c r="E261" s="10">
        <v>264.18</v>
      </c>
      <c r="F261" s="10">
        <v>265.3</v>
      </c>
      <c r="G261" s="10">
        <v>266.12</v>
      </c>
      <c r="H261" s="10">
        <v>262.72000000000003</v>
      </c>
      <c r="I261" s="11">
        <v>321.04000000000002</v>
      </c>
      <c r="J261" s="12">
        <v>1E-3</v>
      </c>
      <c r="K261" s="10">
        <f>'Datos históricos de Credicorp ('!$F261-'Datos históricos de Credicorp ('!$G261</f>
        <v>-0.81999999999999318</v>
      </c>
    </row>
    <row r="262" spans="4:11" outlineLevel="1" x14ac:dyDescent="0.35">
      <c r="D262" s="9">
        <v>45909</v>
      </c>
      <c r="E262" s="10">
        <v>263.92</v>
      </c>
      <c r="F262" s="10">
        <v>263.89999999999998</v>
      </c>
      <c r="G262" s="10">
        <v>268.48</v>
      </c>
      <c r="H262" s="10">
        <v>263.89999999999998</v>
      </c>
      <c r="I262" s="11">
        <v>257.25</v>
      </c>
      <c r="J262" s="12">
        <v>1.6000000000000001E-3</v>
      </c>
      <c r="K262" s="10">
        <f>'Datos históricos de Credicorp ('!$F262-'Datos históricos de Credicorp ('!$G262</f>
        <v>-4.5800000000000409</v>
      </c>
    </row>
    <row r="263" spans="4:11" outlineLevel="1" x14ac:dyDescent="0.35">
      <c r="D263" s="9">
        <v>45908</v>
      </c>
      <c r="E263" s="10">
        <v>263.5</v>
      </c>
      <c r="F263" s="10">
        <v>261.01</v>
      </c>
      <c r="G263" s="10">
        <v>265.10000000000002</v>
      </c>
      <c r="H263" s="10">
        <v>261.01</v>
      </c>
      <c r="I263" s="11">
        <v>380.6</v>
      </c>
      <c r="J263" s="12">
        <v>8.8000000000000005E-3</v>
      </c>
      <c r="K263" s="10">
        <f>'Datos históricos de Credicorp ('!$F263-'Datos históricos de Credicorp ('!$G263</f>
        <v>-4.0900000000000318</v>
      </c>
    </row>
    <row r="264" spans="4:11" outlineLevel="1" x14ac:dyDescent="0.35">
      <c r="D264" s="9">
        <v>45905</v>
      </c>
      <c r="E264" s="10">
        <v>261.2</v>
      </c>
      <c r="F264" s="10">
        <v>259.97000000000003</v>
      </c>
      <c r="G264" s="10">
        <v>262.18</v>
      </c>
      <c r="H264" s="10">
        <v>251.97</v>
      </c>
      <c r="I264" s="11">
        <v>586.38</v>
      </c>
      <c r="J264" s="12">
        <v>4.7000000000000002E-3</v>
      </c>
      <c r="K264" s="10">
        <f>'Datos históricos de Credicorp ('!$F264-'Datos históricos de Credicorp ('!$G264</f>
        <v>-2.2099999999999795</v>
      </c>
    </row>
    <row r="265" spans="4:11" outlineLevel="1" x14ac:dyDescent="0.35">
      <c r="D265" s="9">
        <v>45904</v>
      </c>
      <c r="E265" s="10">
        <v>259.98</v>
      </c>
      <c r="F265" s="10">
        <v>262.55</v>
      </c>
      <c r="G265" s="10">
        <v>263.92</v>
      </c>
      <c r="H265" s="10">
        <v>259.72000000000003</v>
      </c>
      <c r="I265" s="11">
        <v>232.82</v>
      </c>
      <c r="J265" s="12">
        <v>-6.0000000000000001E-3</v>
      </c>
      <c r="K265" s="10">
        <f>'Datos históricos de Credicorp ('!$F265-'Datos históricos de Credicorp ('!$G265</f>
        <v>-1.3700000000000045</v>
      </c>
    </row>
    <row r="266" spans="4:11" outlineLevel="1" x14ac:dyDescent="0.35">
      <c r="D266" s="9">
        <v>45903</v>
      </c>
      <c r="E266" s="10">
        <v>261.56</v>
      </c>
      <c r="F266" s="10">
        <v>260.23</v>
      </c>
      <c r="G266" s="10">
        <v>263.42</v>
      </c>
      <c r="H266" s="10">
        <v>258.45</v>
      </c>
      <c r="I266" s="11">
        <v>446.34</v>
      </c>
      <c r="J266" s="12">
        <v>5.5999999999999999E-3</v>
      </c>
      <c r="K266" s="10">
        <f>'Datos históricos de Credicorp ('!$F266-'Datos históricos de Credicorp ('!$G266</f>
        <v>-3.1899999999999977</v>
      </c>
    </row>
    <row r="267" spans="4:11" outlineLevel="1" x14ac:dyDescent="0.35">
      <c r="D267" s="9">
        <v>45902</v>
      </c>
      <c r="E267" s="10">
        <v>260.11</v>
      </c>
      <c r="F267" s="10">
        <v>255.36</v>
      </c>
      <c r="G267" s="10">
        <v>260.27</v>
      </c>
      <c r="H267" s="10">
        <v>255.06</v>
      </c>
      <c r="I267" s="11">
        <v>360.2</v>
      </c>
      <c r="J267" s="12">
        <v>1.1299999999999999E-2</v>
      </c>
      <c r="K267" s="10">
        <f>'Datos históricos de Credicorp ('!$F267-'Datos históricos de Credicorp ('!$G267</f>
        <v>-4.9099999999999682</v>
      </c>
    </row>
    <row r="268" spans="4:11" outlineLevel="1" x14ac:dyDescent="0.35">
      <c r="D268" s="9">
        <v>45898</v>
      </c>
      <c r="E268" s="10">
        <v>257.2</v>
      </c>
      <c r="F268" s="10">
        <v>254.71</v>
      </c>
      <c r="G268" s="10">
        <v>258.7</v>
      </c>
      <c r="H268" s="10">
        <v>254.23</v>
      </c>
      <c r="I268" s="11">
        <v>442.61</v>
      </c>
      <c r="J268" s="12">
        <v>4.3E-3</v>
      </c>
      <c r="K268" s="10">
        <f>'Datos históricos de Credicorp ('!$F268-'Datos históricos de Credicorp ('!$G268</f>
        <v>-3.9899999999999807</v>
      </c>
    </row>
    <row r="269" spans="4:11" outlineLevel="1" x14ac:dyDescent="0.35">
      <c r="D269" s="9">
        <v>45897</v>
      </c>
      <c r="E269" s="10">
        <v>256.08999999999997</v>
      </c>
      <c r="F269" s="10">
        <v>253.21</v>
      </c>
      <c r="G269" s="10">
        <v>256.54000000000002</v>
      </c>
      <c r="H269" s="10">
        <v>251.69</v>
      </c>
      <c r="I269" s="11">
        <v>257.95999999999998</v>
      </c>
      <c r="J269" s="12">
        <v>1.49E-2</v>
      </c>
      <c r="K269" s="10">
        <f>'Datos históricos de Credicorp ('!$F269-'Datos históricos de Credicorp ('!$G269</f>
        <v>-3.3300000000000125</v>
      </c>
    </row>
    <row r="270" spans="4:11" outlineLevel="1" x14ac:dyDescent="0.35">
      <c r="D270" s="9">
        <v>45896</v>
      </c>
      <c r="E270" s="10">
        <v>252.33</v>
      </c>
      <c r="F270" s="10">
        <v>252.06</v>
      </c>
      <c r="G270" s="10">
        <v>253.9</v>
      </c>
      <c r="H270" s="10">
        <v>249.59</v>
      </c>
      <c r="I270" s="11">
        <v>208.79</v>
      </c>
      <c r="J270" s="12">
        <v>-7.4999999999999997E-3</v>
      </c>
      <c r="K270" s="10">
        <f>'Datos históricos de Credicorp ('!$F270-'Datos históricos de Credicorp ('!$G270</f>
        <v>-1.8400000000000034</v>
      </c>
    </row>
    <row r="271" spans="4:11" outlineLevel="1" x14ac:dyDescent="0.35">
      <c r="D271" s="9">
        <v>45895</v>
      </c>
      <c r="E271" s="10">
        <v>254.23</v>
      </c>
      <c r="F271" s="10">
        <v>251</v>
      </c>
      <c r="G271" s="10">
        <v>254.23</v>
      </c>
      <c r="H271" s="10">
        <v>250.57</v>
      </c>
      <c r="I271" s="11">
        <v>273.37</v>
      </c>
      <c r="J271" s="12">
        <v>8.8000000000000005E-3</v>
      </c>
      <c r="K271" s="10">
        <f>'Datos históricos de Credicorp ('!$F271-'Datos históricos de Credicorp ('!$G271</f>
        <v>-3.2299999999999898</v>
      </c>
    </row>
    <row r="272" spans="4:11" outlineLevel="1" x14ac:dyDescent="0.35">
      <c r="D272" s="9">
        <v>45894</v>
      </c>
      <c r="E272" s="10">
        <v>252.01</v>
      </c>
      <c r="F272" s="10">
        <v>254.6</v>
      </c>
      <c r="G272" s="10">
        <v>256.74</v>
      </c>
      <c r="H272" s="10">
        <v>251.63</v>
      </c>
      <c r="I272" s="11">
        <v>136.85</v>
      </c>
      <c r="J272" s="12">
        <v>-1.18E-2</v>
      </c>
      <c r="K272" s="10">
        <f>'Datos históricos de Credicorp ('!$F272-'Datos históricos de Credicorp ('!$G272</f>
        <v>-2.1400000000000148</v>
      </c>
    </row>
    <row r="273" spans="4:11" outlineLevel="1" x14ac:dyDescent="0.35">
      <c r="D273" s="9">
        <v>45891</v>
      </c>
      <c r="E273" s="10">
        <v>255.01</v>
      </c>
      <c r="F273" s="10">
        <v>250.79</v>
      </c>
      <c r="G273" s="10">
        <v>256.99</v>
      </c>
      <c r="H273" s="10">
        <v>250.42</v>
      </c>
      <c r="I273" s="11">
        <v>409.95</v>
      </c>
      <c r="J273" s="12">
        <v>1.55E-2</v>
      </c>
      <c r="K273" s="10">
        <f>'Datos históricos de Credicorp ('!$F273-'Datos históricos de Credicorp ('!$G273</f>
        <v>-6.2000000000000171</v>
      </c>
    </row>
    <row r="274" spans="4:11" outlineLevel="1" x14ac:dyDescent="0.35">
      <c r="D274" s="9">
        <v>45890</v>
      </c>
      <c r="E274" s="10">
        <v>251.11</v>
      </c>
      <c r="F274" s="10">
        <v>249.98</v>
      </c>
      <c r="G274" s="10">
        <v>254.5</v>
      </c>
      <c r="H274" s="10">
        <v>247.06</v>
      </c>
      <c r="I274" s="11">
        <v>394.16</v>
      </c>
      <c r="J274" s="12">
        <v>8.2000000000000007E-3</v>
      </c>
      <c r="K274" s="10">
        <f>'Datos históricos de Credicorp ('!$F274-'Datos históricos de Credicorp ('!$G274</f>
        <v>-4.5200000000000102</v>
      </c>
    </row>
    <row r="275" spans="4:11" outlineLevel="1" x14ac:dyDescent="0.35">
      <c r="D275" s="9">
        <v>45889</v>
      </c>
      <c r="E275" s="10">
        <v>249.07</v>
      </c>
      <c r="F275" s="10">
        <v>249.32</v>
      </c>
      <c r="G275" s="10">
        <v>251.4</v>
      </c>
      <c r="H275" s="10">
        <v>247.13</v>
      </c>
      <c r="I275" s="11">
        <v>974.13</v>
      </c>
      <c r="J275" s="12">
        <v>-5.5999999999999999E-3</v>
      </c>
      <c r="K275" s="10">
        <f>'Datos históricos de Credicorp ('!$F275-'Datos históricos de Credicorp ('!$G275</f>
        <v>-2.0800000000000125</v>
      </c>
    </row>
    <row r="276" spans="4:11" outlineLevel="1" x14ac:dyDescent="0.35">
      <c r="D276" s="9">
        <v>45888</v>
      </c>
      <c r="E276" s="10">
        <v>250.48</v>
      </c>
      <c r="F276" s="10">
        <v>252.92</v>
      </c>
      <c r="G276" s="10">
        <v>254.58</v>
      </c>
      <c r="H276" s="10">
        <v>249.43</v>
      </c>
      <c r="I276" s="11">
        <v>494.49</v>
      </c>
      <c r="J276" s="12">
        <v>-1.0800000000000001E-2</v>
      </c>
      <c r="K276" s="10">
        <f>'Datos históricos de Credicorp ('!$F276-'Datos históricos de Credicorp ('!$G276</f>
        <v>-1.660000000000025</v>
      </c>
    </row>
    <row r="277" spans="4:11" outlineLevel="1" x14ac:dyDescent="0.35">
      <c r="D277" s="9">
        <v>45887</v>
      </c>
      <c r="E277" s="10">
        <v>253.22</v>
      </c>
      <c r="F277" s="10">
        <v>251.33</v>
      </c>
      <c r="G277" s="10">
        <v>254.62</v>
      </c>
      <c r="H277" s="10">
        <v>249.42</v>
      </c>
      <c r="I277" s="11">
        <v>345.79</v>
      </c>
      <c r="J277" s="12">
        <v>5.3E-3</v>
      </c>
      <c r="K277" s="10">
        <f>'Datos históricos de Credicorp ('!$F277-'Datos históricos de Credicorp ('!$G277</f>
        <v>-3.289999999999992</v>
      </c>
    </row>
    <row r="278" spans="4:11" outlineLevel="1" x14ac:dyDescent="0.35">
      <c r="D278" s="9">
        <v>45884</v>
      </c>
      <c r="E278" s="10">
        <v>251.88</v>
      </c>
      <c r="F278" s="10">
        <v>247.84</v>
      </c>
      <c r="G278" s="10">
        <v>255.39</v>
      </c>
      <c r="H278" s="10">
        <v>247.84</v>
      </c>
      <c r="I278" s="11">
        <v>559.80999999999995</v>
      </c>
      <c r="J278" s="12">
        <v>6.1000000000000004E-3</v>
      </c>
      <c r="K278" s="10">
        <f>'Datos históricos de Credicorp ('!$F278-'Datos históricos de Credicorp ('!$G278</f>
        <v>-7.5499999999999829</v>
      </c>
    </row>
    <row r="279" spans="4:11" outlineLevel="1" x14ac:dyDescent="0.35">
      <c r="D279" s="9">
        <v>45883</v>
      </c>
      <c r="E279" s="10">
        <v>250.36</v>
      </c>
      <c r="F279" s="10">
        <v>250.19</v>
      </c>
      <c r="G279" s="10">
        <v>252.38</v>
      </c>
      <c r="H279" s="10">
        <v>247.73</v>
      </c>
      <c r="I279" s="11">
        <v>276.76</v>
      </c>
      <c r="J279" s="12">
        <v>4.0000000000000001E-3</v>
      </c>
      <c r="K279" s="10">
        <f>'Datos históricos de Credicorp ('!$F279-'Datos históricos de Credicorp ('!$G279</f>
        <v>-2.1899999999999977</v>
      </c>
    </row>
    <row r="280" spans="4:11" outlineLevel="1" x14ac:dyDescent="0.35">
      <c r="D280" s="9">
        <v>45882</v>
      </c>
      <c r="E280" s="10">
        <v>249.37</v>
      </c>
      <c r="F280" s="10">
        <v>251</v>
      </c>
      <c r="G280" s="10">
        <v>254.53</v>
      </c>
      <c r="H280" s="10">
        <v>249.32</v>
      </c>
      <c r="I280" s="11">
        <v>467.69</v>
      </c>
      <c r="J280" s="12">
        <v>-6.4999999999999997E-3</v>
      </c>
      <c r="K280" s="10">
        <f>'Datos históricos de Credicorp ('!$F280-'Datos históricos de Credicorp ('!$G280</f>
        <v>-3.5300000000000011</v>
      </c>
    </row>
    <row r="281" spans="4:11" outlineLevel="1" x14ac:dyDescent="0.35">
      <c r="D281" s="9">
        <v>45881</v>
      </c>
      <c r="E281" s="10">
        <v>251.01</v>
      </c>
      <c r="F281" s="10">
        <v>249.85</v>
      </c>
      <c r="G281" s="10">
        <v>251.54</v>
      </c>
      <c r="H281" s="10">
        <v>249.42</v>
      </c>
      <c r="I281" s="11">
        <v>338.15</v>
      </c>
      <c r="J281" s="12">
        <v>7.3000000000000001E-3</v>
      </c>
      <c r="K281" s="10">
        <f>'Datos históricos de Credicorp ('!$F281-'Datos históricos de Credicorp ('!$G281</f>
        <v>-1.6899999999999977</v>
      </c>
    </row>
    <row r="282" spans="4:11" outlineLevel="1" x14ac:dyDescent="0.35">
      <c r="D282" s="9">
        <v>45880</v>
      </c>
      <c r="E282" s="10">
        <v>249.2</v>
      </c>
      <c r="F282" s="10">
        <v>249.4</v>
      </c>
      <c r="G282" s="10">
        <v>250.41</v>
      </c>
      <c r="H282" s="10">
        <v>248.17</v>
      </c>
      <c r="I282" s="11">
        <v>255.05</v>
      </c>
      <c r="J282" s="12">
        <v>0</v>
      </c>
      <c r="K282" s="10">
        <f>'Datos históricos de Credicorp ('!$F282-'Datos históricos de Credicorp ('!$G282</f>
        <v>-1.0099999999999909</v>
      </c>
    </row>
    <row r="283" spans="4:11" outlineLevel="1" x14ac:dyDescent="0.35">
      <c r="D283" s="9">
        <v>45877</v>
      </c>
      <c r="E283" s="10">
        <v>249.2</v>
      </c>
      <c r="F283" s="10">
        <v>246.73</v>
      </c>
      <c r="G283" s="10">
        <v>249.23</v>
      </c>
      <c r="H283" s="10">
        <v>241.21</v>
      </c>
      <c r="I283" s="11">
        <v>220.53</v>
      </c>
      <c r="J283" s="12">
        <v>1.2999999999999999E-2</v>
      </c>
      <c r="K283" s="10">
        <f>'Datos históricos de Credicorp ('!$F283-'Datos históricos de Credicorp ('!$G283</f>
        <v>-2.5</v>
      </c>
    </row>
    <row r="284" spans="4:11" outlineLevel="1" x14ac:dyDescent="0.35">
      <c r="D284" s="9">
        <v>45876</v>
      </c>
      <c r="E284" s="10">
        <v>246</v>
      </c>
      <c r="F284" s="10">
        <v>243.86</v>
      </c>
      <c r="G284" s="10">
        <v>246.08</v>
      </c>
      <c r="H284" s="10">
        <v>242.9</v>
      </c>
      <c r="I284" s="11">
        <v>318.68</v>
      </c>
      <c r="J284" s="12">
        <v>1.24E-2</v>
      </c>
      <c r="K284" s="10">
        <f>'Datos históricos de Credicorp ('!$F284-'Datos históricos de Credicorp ('!$G284</f>
        <v>-2.2199999999999989</v>
      </c>
    </row>
    <row r="285" spans="4:11" outlineLevel="1" x14ac:dyDescent="0.35">
      <c r="D285" s="9">
        <v>45875</v>
      </c>
      <c r="E285" s="10">
        <v>242.99</v>
      </c>
      <c r="F285" s="10">
        <v>242.99</v>
      </c>
      <c r="G285" s="10">
        <v>244.49</v>
      </c>
      <c r="H285" s="10">
        <v>240.17</v>
      </c>
      <c r="I285" s="11">
        <v>327.79</v>
      </c>
      <c r="J285" s="12">
        <v>4.1000000000000003E-3</v>
      </c>
      <c r="K285" s="10">
        <f>'Datos históricos de Credicorp ('!$F285-'Datos históricos de Credicorp ('!$G285</f>
        <v>-1.5</v>
      </c>
    </row>
    <row r="286" spans="4:11" outlineLevel="1" x14ac:dyDescent="0.35">
      <c r="D286" s="9">
        <v>45874</v>
      </c>
      <c r="E286" s="10">
        <v>242</v>
      </c>
      <c r="F286" s="10">
        <v>242.67</v>
      </c>
      <c r="G286" s="10">
        <v>249.63</v>
      </c>
      <c r="H286" s="10">
        <v>240.21</v>
      </c>
      <c r="I286" s="11">
        <v>328.03</v>
      </c>
      <c r="J286" s="12">
        <v>-1.9E-3</v>
      </c>
      <c r="K286" s="10">
        <f>'Datos históricos de Credicorp ('!$F286-'Datos históricos de Credicorp ('!$G286</f>
        <v>-6.960000000000008</v>
      </c>
    </row>
    <row r="287" spans="4:11" outlineLevel="1" x14ac:dyDescent="0.35">
      <c r="D287" s="9">
        <v>45873</v>
      </c>
      <c r="E287" s="10">
        <v>242.45</v>
      </c>
      <c r="F287" s="10">
        <v>237.24</v>
      </c>
      <c r="G287" s="10">
        <v>242.45</v>
      </c>
      <c r="H287" s="10">
        <v>236.24</v>
      </c>
      <c r="I287" s="11">
        <v>399.6</v>
      </c>
      <c r="J287" s="12">
        <v>2.52E-2</v>
      </c>
      <c r="K287" s="10">
        <f>'Datos históricos de Credicorp ('!$F287-'Datos históricos de Credicorp ('!$G287</f>
        <v>-5.2099999999999795</v>
      </c>
    </row>
    <row r="288" spans="4:11" outlineLevel="1" x14ac:dyDescent="0.35">
      <c r="D288" s="9">
        <v>45870</v>
      </c>
      <c r="E288" s="10">
        <v>236.5</v>
      </c>
      <c r="F288" s="10">
        <v>236.9</v>
      </c>
      <c r="G288" s="10">
        <v>236.9</v>
      </c>
      <c r="H288" s="10">
        <v>231.74</v>
      </c>
      <c r="I288" s="11">
        <v>388.32</v>
      </c>
      <c r="J288" s="12">
        <v>-2.0999999999999999E-3</v>
      </c>
      <c r="K288" s="10">
        <f>'Datos históricos de Credicorp ('!$F288-'Datos históricos de Credicorp ('!$G288</f>
        <v>0</v>
      </c>
    </row>
    <row r="289" spans="4:11" outlineLevel="1" x14ac:dyDescent="0.35">
      <c r="D289" s="9">
        <v>45869</v>
      </c>
      <c r="E289" s="10">
        <v>237</v>
      </c>
      <c r="F289" s="10">
        <v>235.89</v>
      </c>
      <c r="G289" s="10">
        <v>237.08</v>
      </c>
      <c r="H289" s="10">
        <v>233.59</v>
      </c>
      <c r="I289" s="11">
        <v>372.41</v>
      </c>
      <c r="J289" s="12">
        <v>8.2000000000000007E-3</v>
      </c>
      <c r="K289" s="10">
        <f>'Datos históricos de Credicorp ('!$F289-'Datos históricos de Credicorp ('!$G289</f>
        <v>-1.1900000000000261</v>
      </c>
    </row>
    <row r="290" spans="4:11" outlineLevel="1" x14ac:dyDescent="0.35">
      <c r="D290" s="9">
        <v>45868</v>
      </c>
      <c r="E290" s="10">
        <v>235.08</v>
      </c>
      <c r="F290" s="10">
        <v>236.08</v>
      </c>
      <c r="G290" s="10">
        <v>237.85</v>
      </c>
      <c r="H290" s="10">
        <v>231.55</v>
      </c>
      <c r="I290" s="11">
        <v>336.8</v>
      </c>
      <c r="J290" s="12">
        <v>-1.23E-2</v>
      </c>
      <c r="K290" s="10">
        <f>'Datos históricos de Credicorp ('!$F290-'Datos históricos de Credicorp ('!$G290</f>
        <v>-1.7699999999999818</v>
      </c>
    </row>
    <row r="291" spans="4:11" outlineLevel="1" x14ac:dyDescent="0.35">
      <c r="D291" s="9">
        <v>45867</v>
      </c>
      <c r="E291" s="10">
        <v>238</v>
      </c>
      <c r="F291" s="10">
        <v>235.13</v>
      </c>
      <c r="G291" s="10">
        <v>239.72</v>
      </c>
      <c r="H291" s="10">
        <v>234.57</v>
      </c>
      <c r="I291" s="11">
        <v>271.73</v>
      </c>
      <c r="J291" s="12">
        <v>1.2800000000000001E-2</v>
      </c>
      <c r="K291" s="10">
        <f>'Datos históricos de Credicorp ('!$F291-'Datos históricos de Credicorp ('!$G291</f>
        <v>-4.5900000000000034</v>
      </c>
    </row>
    <row r="292" spans="4:11" outlineLevel="1" x14ac:dyDescent="0.35">
      <c r="D292" s="9">
        <v>45866</v>
      </c>
      <c r="E292" s="10">
        <v>235</v>
      </c>
      <c r="F292" s="10">
        <v>234.59</v>
      </c>
      <c r="G292" s="10">
        <v>239.13</v>
      </c>
      <c r="H292" s="10">
        <v>232.2</v>
      </c>
      <c r="I292" s="11">
        <v>222.61</v>
      </c>
      <c r="J292" s="12">
        <v>-3.5999999999999999E-3</v>
      </c>
      <c r="K292" s="10">
        <f>'Datos históricos de Credicorp ('!$F292-'Datos históricos de Credicorp ('!$G292</f>
        <v>-4.539999999999992</v>
      </c>
    </row>
    <row r="293" spans="4:11" outlineLevel="1" x14ac:dyDescent="0.35">
      <c r="D293" s="9">
        <v>45863</v>
      </c>
      <c r="E293" s="10">
        <v>235.85</v>
      </c>
      <c r="F293" s="10">
        <v>236.24</v>
      </c>
      <c r="G293" s="10">
        <v>239.21</v>
      </c>
      <c r="H293" s="10">
        <v>230.25</v>
      </c>
      <c r="I293" s="11">
        <v>144.41999999999999</v>
      </c>
      <c r="J293" s="12">
        <v>-5.4000000000000003E-3</v>
      </c>
      <c r="K293" s="10">
        <f>'Datos históricos de Credicorp ('!$F293-'Datos históricos de Credicorp ('!$G293</f>
        <v>-2.9699999999999989</v>
      </c>
    </row>
    <row r="294" spans="4:11" outlineLevel="1" x14ac:dyDescent="0.35">
      <c r="D294" s="9">
        <v>45862</v>
      </c>
      <c r="E294" s="10">
        <v>237.12</v>
      </c>
      <c r="F294" s="10">
        <v>238.31</v>
      </c>
      <c r="G294" s="10">
        <v>240</v>
      </c>
      <c r="H294" s="10">
        <v>233.05</v>
      </c>
      <c r="I294" s="11">
        <v>446.85</v>
      </c>
      <c r="J294" s="12">
        <v>5.0000000000000001E-4</v>
      </c>
      <c r="K294" s="10">
        <f>'Datos históricos de Credicorp ('!$F294-'Datos históricos de Credicorp ('!$G294</f>
        <v>-1.6899999999999977</v>
      </c>
    </row>
    <row r="295" spans="4:11" outlineLevel="1" x14ac:dyDescent="0.35">
      <c r="D295" s="9">
        <v>45861</v>
      </c>
      <c r="E295" s="10">
        <v>237</v>
      </c>
      <c r="F295" s="10">
        <v>230.96</v>
      </c>
      <c r="G295" s="10">
        <v>237.37</v>
      </c>
      <c r="H295" s="10">
        <v>230.96</v>
      </c>
      <c r="I295" s="11">
        <v>624.91999999999996</v>
      </c>
      <c r="J295" s="12">
        <v>2.86E-2</v>
      </c>
      <c r="K295" s="10">
        <f>'Datos históricos de Credicorp ('!$F295-'Datos históricos de Credicorp ('!$G295</f>
        <v>-6.4099999999999966</v>
      </c>
    </row>
    <row r="296" spans="4:11" outlineLevel="1" x14ac:dyDescent="0.35">
      <c r="D296" s="9">
        <v>45860</v>
      </c>
      <c r="E296" s="10">
        <v>230.4</v>
      </c>
      <c r="F296" s="10">
        <v>227.35</v>
      </c>
      <c r="G296" s="10">
        <v>230.93</v>
      </c>
      <c r="H296" s="10">
        <v>226.51</v>
      </c>
      <c r="I296" s="11">
        <v>470.75</v>
      </c>
      <c r="J296" s="12">
        <v>1.7899999999999999E-2</v>
      </c>
      <c r="K296" s="10">
        <f>'Datos históricos de Credicorp ('!$F296-'Datos históricos de Credicorp ('!$G296</f>
        <v>-3.5800000000000125</v>
      </c>
    </row>
    <row r="297" spans="4:11" outlineLevel="1" x14ac:dyDescent="0.35">
      <c r="D297" s="9">
        <v>45859</v>
      </c>
      <c r="E297" s="10">
        <v>226.34</v>
      </c>
      <c r="F297" s="10">
        <v>227.13</v>
      </c>
      <c r="G297" s="10">
        <v>229.54</v>
      </c>
      <c r="H297" s="10">
        <v>225.49</v>
      </c>
      <c r="I297" s="11">
        <v>201.68</v>
      </c>
      <c r="J297" s="12">
        <v>4.0000000000000002E-4</v>
      </c>
      <c r="K297" s="10">
        <f>'Datos históricos de Credicorp ('!$F297-'Datos históricos de Credicorp ('!$G297</f>
        <v>-2.4099999999999966</v>
      </c>
    </row>
    <row r="298" spans="4:11" outlineLevel="1" x14ac:dyDescent="0.35">
      <c r="D298" s="9">
        <v>45856</v>
      </c>
      <c r="E298" s="10">
        <v>226.24</v>
      </c>
      <c r="F298" s="10">
        <v>224.94</v>
      </c>
      <c r="G298" s="10">
        <v>227.5</v>
      </c>
      <c r="H298" s="10">
        <v>224.94</v>
      </c>
      <c r="I298" s="11">
        <v>298.8</v>
      </c>
      <c r="J298" s="12">
        <v>3.0000000000000001E-3</v>
      </c>
      <c r="K298" s="10">
        <f>'Datos históricos de Credicorp ('!$F298-'Datos históricos de Credicorp ('!$G298</f>
        <v>-2.5600000000000023</v>
      </c>
    </row>
    <row r="299" spans="4:11" outlineLevel="1" x14ac:dyDescent="0.35">
      <c r="D299" s="9">
        <v>45855</v>
      </c>
      <c r="E299" s="10">
        <v>225.57</v>
      </c>
      <c r="F299" s="10">
        <v>220.98</v>
      </c>
      <c r="G299" s="10">
        <v>226.04</v>
      </c>
      <c r="H299" s="10">
        <v>220.8</v>
      </c>
      <c r="I299" s="11">
        <v>341.01</v>
      </c>
      <c r="J299" s="12">
        <v>2.2700000000000001E-2</v>
      </c>
      <c r="K299" s="10">
        <f>'Datos históricos de Credicorp ('!$F299-'Datos históricos de Credicorp ('!$G299</f>
        <v>-5.0600000000000023</v>
      </c>
    </row>
    <row r="300" spans="4:11" outlineLevel="1" x14ac:dyDescent="0.35">
      <c r="D300" s="9">
        <v>45854</v>
      </c>
      <c r="E300" s="10">
        <v>220.56</v>
      </c>
      <c r="F300" s="10">
        <v>221.43</v>
      </c>
      <c r="G300" s="10">
        <v>222.5</v>
      </c>
      <c r="H300" s="10">
        <v>216.87</v>
      </c>
      <c r="I300" s="11">
        <v>338.33</v>
      </c>
      <c r="J300" s="12">
        <v>-5.7000000000000002E-3</v>
      </c>
      <c r="K300" s="10">
        <f>'Datos históricos de Credicorp ('!$F300-'Datos históricos de Credicorp ('!$G300</f>
        <v>-1.0699999999999932</v>
      </c>
    </row>
    <row r="301" spans="4:11" outlineLevel="1" x14ac:dyDescent="0.35">
      <c r="D301" s="9">
        <v>45853</v>
      </c>
      <c r="E301" s="10">
        <v>221.82</v>
      </c>
      <c r="F301" s="10">
        <v>221.29</v>
      </c>
      <c r="G301" s="10">
        <v>223.41</v>
      </c>
      <c r="H301" s="10">
        <v>218.21</v>
      </c>
      <c r="I301" s="11">
        <v>221.51</v>
      </c>
      <c r="J301" s="12">
        <v>1.8E-3</v>
      </c>
      <c r="K301" s="10">
        <f>'Datos históricos de Credicorp ('!$F301-'Datos históricos de Credicorp ('!$G301</f>
        <v>-2.1200000000000045</v>
      </c>
    </row>
    <row r="302" spans="4:11" outlineLevel="1" x14ac:dyDescent="0.35">
      <c r="D302" s="9">
        <v>45852</v>
      </c>
      <c r="E302" s="10">
        <v>221.42</v>
      </c>
      <c r="F302" s="10">
        <v>222.64</v>
      </c>
      <c r="G302" s="10">
        <v>224.09</v>
      </c>
      <c r="H302" s="10">
        <v>221.27</v>
      </c>
      <c r="I302" s="11">
        <v>176.98</v>
      </c>
      <c r="J302" s="12">
        <v>-4.4999999999999997E-3</v>
      </c>
      <c r="K302" s="10">
        <f>'Datos históricos de Credicorp ('!$F302-'Datos históricos de Credicorp ('!$G302</f>
        <v>-1.4500000000000171</v>
      </c>
    </row>
    <row r="303" spans="4:11" outlineLevel="1" x14ac:dyDescent="0.35">
      <c r="D303" s="9">
        <v>45849</v>
      </c>
      <c r="E303" s="10">
        <v>222.42</v>
      </c>
      <c r="F303" s="10">
        <v>222.28</v>
      </c>
      <c r="G303" s="10">
        <v>223.58</v>
      </c>
      <c r="H303" s="10">
        <v>221.36</v>
      </c>
      <c r="I303" s="11">
        <v>403.14</v>
      </c>
      <c r="J303" s="12">
        <v>-4.8999999999999998E-3</v>
      </c>
      <c r="K303" s="10">
        <f>'Datos históricos de Credicorp ('!$F303-'Datos históricos de Credicorp ('!$G303</f>
        <v>-1.3000000000000114</v>
      </c>
    </row>
    <row r="304" spans="4:11" outlineLevel="1" x14ac:dyDescent="0.35">
      <c r="D304" s="9">
        <v>45848</v>
      </c>
      <c r="E304" s="10">
        <v>223.51</v>
      </c>
      <c r="F304" s="10">
        <v>226.38</v>
      </c>
      <c r="G304" s="10">
        <v>227.55</v>
      </c>
      <c r="H304" s="10">
        <v>220.81</v>
      </c>
      <c r="I304" s="11">
        <v>312.57</v>
      </c>
      <c r="J304" s="12">
        <v>-4.8999999999999998E-3</v>
      </c>
      <c r="K304" s="10">
        <f>'Datos históricos de Credicorp ('!$F304-'Datos históricos de Credicorp ('!$G304</f>
        <v>-1.1700000000000159</v>
      </c>
    </row>
    <row r="305" spans="4:11" outlineLevel="1" x14ac:dyDescent="0.35">
      <c r="D305" s="9">
        <v>45847</v>
      </c>
      <c r="E305" s="10">
        <v>224.62</v>
      </c>
      <c r="F305" s="10">
        <v>226.58</v>
      </c>
      <c r="G305" s="10">
        <v>228.31</v>
      </c>
      <c r="H305" s="10">
        <v>222.05</v>
      </c>
      <c r="I305" s="11">
        <v>210.58</v>
      </c>
      <c r="J305" s="12">
        <v>-5.0000000000000001E-3</v>
      </c>
      <c r="K305" s="10">
        <f>'Datos históricos de Credicorp ('!$F305-'Datos históricos de Credicorp ('!$G305</f>
        <v>-1.7299999999999898</v>
      </c>
    </row>
    <row r="306" spans="4:11" outlineLevel="1" x14ac:dyDescent="0.35">
      <c r="D306" s="9">
        <v>45846</v>
      </c>
      <c r="E306" s="10">
        <v>225.74</v>
      </c>
      <c r="F306" s="10">
        <v>226.1</v>
      </c>
      <c r="G306" s="10">
        <v>226.63</v>
      </c>
      <c r="H306" s="10">
        <v>223.23</v>
      </c>
      <c r="I306" s="11">
        <v>233.54</v>
      </c>
      <c r="J306" s="12">
        <v>0</v>
      </c>
      <c r="K306" s="10">
        <f>'Datos históricos de Credicorp ('!$F306-'Datos históricos de Credicorp ('!$G306</f>
        <v>-0.53000000000000114</v>
      </c>
    </row>
    <row r="307" spans="4:11" outlineLevel="1" x14ac:dyDescent="0.35">
      <c r="D307" s="9">
        <v>45845</v>
      </c>
      <c r="E307" s="10">
        <v>225.73</v>
      </c>
      <c r="F307" s="10">
        <v>226.19</v>
      </c>
      <c r="G307" s="10">
        <v>228.26</v>
      </c>
      <c r="H307" s="10">
        <v>223.53</v>
      </c>
      <c r="I307" s="11">
        <v>293.89</v>
      </c>
      <c r="J307" s="12">
        <v>-6.7000000000000002E-3</v>
      </c>
      <c r="K307" s="10">
        <f>'Datos históricos de Credicorp ('!$F307-'Datos históricos de Credicorp ('!$G307</f>
        <v>-2.0699999999999932</v>
      </c>
    </row>
    <row r="308" spans="4:11" outlineLevel="1" x14ac:dyDescent="0.35">
      <c r="D308" s="9">
        <v>45841</v>
      </c>
      <c r="E308" s="10">
        <v>227.25</v>
      </c>
      <c r="F308" s="10">
        <v>227.9</v>
      </c>
      <c r="G308" s="10">
        <v>228.68</v>
      </c>
      <c r="H308" s="10">
        <v>226.08</v>
      </c>
      <c r="I308" s="11">
        <v>228.6</v>
      </c>
      <c r="J308" s="12">
        <v>5.0000000000000001E-3</v>
      </c>
      <c r="K308" s="10">
        <f>'Datos históricos de Credicorp ('!$F308-'Datos históricos de Credicorp ('!$G308</f>
        <v>-0.78000000000000114</v>
      </c>
    </row>
    <row r="309" spans="4:11" outlineLevel="1" x14ac:dyDescent="0.35">
      <c r="D309" s="9">
        <v>45840</v>
      </c>
      <c r="E309" s="10">
        <v>226.13</v>
      </c>
      <c r="F309" s="10">
        <v>221.77</v>
      </c>
      <c r="G309" s="10">
        <v>226.29</v>
      </c>
      <c r="H309" s="10">
        <v>220.09</v>
      </c>
      <c r="I309" s="11">
        <v>584.09</v>
      </c>
      <c r="J309" s="12">
        <v>1.5699999999999999E-2</v>
      </c>
      <c r="K309" s="10">
        <f>'Datos históricos de Credicorp ('!$F309-'Datos históricos de Credicorp ('!$G309</f>
        <v>-4.5199999999999818</v>
      </c>
    </row>
    <row r="310" spans="4:11" outlineLevel="1" x14ac:dyDescent="0.35">
      <c r="D310" s="9">
        <v>45839</v>
      </c>
      <c r="E310" s="10">
        <v>222.63</v>
      </c>
      <c r="F310" s="10">
        <v>224.4</v>
      </c>
      <c r="G310" s="10">
        <v>226.85</v>
      </c>
      <c r="H310" s="10">
        <v>218.59</v>
      </c>
      <c r="I310" s="11">
        <v>405.61</v>
      </c>
      <c r="J310" s="12">
        <v>-4.0000000000000001E-3</v>
      </c>
      <c r="K310" s="10">
        <f>'Datos históricos de Credicorp ('!$F310-'Datos históricos de Credicorp ('!$G310</f>
        <v>-2.4499999999999886</v>
      </c>
    </row>
    <row r="311" spans="4:11" outlineLevel="1" x14ac:dyDescent="0.35">
      <c r="D311" s="9">
        <v>45838</v>
      </c>
      <c r="E311" s="10">
        <v>223.52</v>
      </c>
      <c r="F311" s="10">
        <v>223.42</v>
      </c>
      <c r="G311" s="10">
        <v>225.68</v>
      </c>
      <c r="H311" s="10">
        <v>222.5</v>
      </c>
      <c r="I311" s="11">
        <v>239.51</v>
      </c>
      <c r="J311" s="12">
        <v>-1.6999999999999999E-3</v>
      </c>
      <c r="K311" s="10">
        <f>'Datos históricos de Credicorp ('!$F311-'Datos históricos de Credicorp ('!$G311</f>
        <v>-2.2600000000000193</v>
      </c>
    </row>
    <row r="312" spans="4:11" outlineLevel="1" x14ac:dyDescent="0.35">
      <c r="D312" s="9">
        <v>45835</v>
      </c>
      <c r="E312" s="10">
        <v>223.9</v>
      </c>
      <c r="F312" s="10">
        <v>222.22</v>
      </c>
      <c r="G312" s="10">
        <v>224.28</v>
      </c>
      <c r="H312" s="10">
        <v>221.69</v>
      </c>
      <c r="I312" s="11">
        <v>330.89</v>
      </c>
      <c r="J312" s="12">
        <v>3.8E-3</v>
      </c>
      <c r="K312" s="10">
        <f>'Datos históricos de Credicorp ('!$F312-'Datos históricos de Credicorp ('!$G312</f>
        <v>-2.0600000000000023</v>
      </c>
    </row>
    <row r="313" spans="4:11" outlineLevel="1" x14ac:dyDescent="0.35">
      <c r="D313" s="9">
        <v>45834</v>
      </c>
      <c r="E313" s="10">
        <v>223.05</v>
      </c>
      <c r="F313" s="10">
        <v>217.44</v>
      </c>
      <c r="G313" s="10">
        <v>223.39</v>
      </c>
      <c r="H313" s="10">
        <v>216.9</v>
      </c>
      <c r="I313" s="11">
        <v>318</v>
      </c>
      <c r="J313" s="12">
        <v>2.58E-2</v>
      </c>
      <c r="K313" s="10">
        <f>'Datos históricos de Credicorp ('!$F313-'Datos históricos de Credicorp ('!$G313</f>
        <v>-5.9499999999999886</v>
      </c>
    </row>
    <row r="314" spans="4:11" outlineLevel="1" x14ac:dyDescent="0.35">
      <c r="D314" s="9">
        <v>45833</v>
      </c>
      <c r="E314" s="10">
        <v>217.43</v>
      </c>
      <c r="F314" s="10">
        <v>217.08</v>
      </c>
      <c r="G314" s="10">
        <v>219.21</v>
      </c>
      <c r="H314" s="10">
        <v>216.51</v>
      </c>
      <c r="I314" s="11">
        <v>165.1</v>
      </c>
      <c r="J314" s="12">
        <v>-1.6999999999999999E-3</v>
      </c>
      <c r="K314" s="10">
        <f>'Datos históricos de Credicorp ('!$F314-'Datos históricos de Credicorp ('!$G314</f>
        <v>-2.1299999999999955</v>
      </c>
    </row>
    <row r="315" spans="4:11" outlineLevel="1" x14ac:dyDescent="0.35">
      <c r="D315" s="9">
        <v>45832</v>
      </c>
      <c r="E315" s="10">
        <v>217.79</v>
      </c>
      <c r="F315" s="10">
        <v>217.25</v>
      </c>
      <c r="G315" s="10">
        <v>220.22</v>
      </c>
      <c r="H315" s="10">
        <v>217.18</v>
      </c>
      <c r="I315" s="11">
        <v>225.8</v>
      </c>
      <c r="J315" s="12">
        <v>7.7000000000000002E-3</v>
      </c>
      <c r="K315" s="10">
        <f>'Datos históricos de Credicorp ('!$F315-'Datos históricos de Credicorp ('!$G315</f>
        <v>-2.9699999999999989</v>
      </c>
    </row>
    <row r="316" spans="4:11" outlineLevel="1" x14ac:dyDescent="0.35">
      <c r="D316" s="9">
        <v>45831</v>
      </c>
      <c r="E316" s="10">
        <v>216.13</v>
      </c>
      <c r="F316" s="10">
        <v>218.02</v>
      </c>
      <c r="G316" s="10">
        <v>218.64</v>
      </c>
      <c r="H316" s="10">
        <v>213.75</v>
      </c>
      <c r="I316" s="11">
        <v>370.18</v>
      </c>
      <c r="J316" s="12">
        <v>-1.0500000000000001E-2</v>
      </c>
      <c r="K316" s="10">
        <f>'Datos históricos de Credicorp ('!$F316-'Datos históricos de Credicorp ('!$G316</f>
        <v>-0.61999999999997613</v>
      </c>
    </row>
    <row r="317" spans="4:11" outlineLevel="1" x14ac:dyDescent="0.35">
      <c r="D317" s="9">
        <v>45828</v>
      </c>
      <c r="E317" s="10">
        <v>218.43</v>
      </c>
      <c r="F317" s="10">
        <v>220</v>
      </c>
      <c r="G317" s="10">
        <v>220</v>
      </c>
      <c r="H317" s="10">
        <v>217.02</v>
      </c>
      <c r="I317" s="11">
        <v>360.07</v>
      </c>
      <c r="J317" s="12">
        <v>3.0000000000000001E-3</v>
      </c>
      <c r="K317" s="10">
        <f>'Datos históricos de Credicorp ('!$F317-'Datos históricos de Credicorp ('!$G317</f>
        <v>0</v>
      </c>
    </row>
    <row r="318" spans="4:11" outlineLevel="1" x14ac:dyDescent="0.35">
      <c r="D318" s="9">
        <v>45826</v>
      </c>
      <c r="E318" s="10">
        <v>217.77</v>
      </c>
      <c r="F318" s="10">
        <v>219.11</v>
      </c>
      <c r="G318" s="10">
        <v>222.99</v>
      </c>
      <c r="H318" s="10">
        <v>216.95</v>
      </c>
      <c r="I318" s="11">
        <v>186.84</v>
      </c>
      <c r="J318" s="12">
        <v>-4.7999999999999996E-3</v>
      </c>
      <c r="K318" s="10">
        <f>'Datos históricos de Credicorp ('!$F318-'Datos históricos de Credicorp ('!$G318</f>
        <v>-3.8799999999999955</v>
      </c>
    </row>
    <row r="319" spans="4:11" outlineLevel="1" x14ac:dyDescent="0.35">
      <c r="D319" s="9">
        <v>45825</v>
      </c>
      <c r="E319" s="10">
        <v>218.81</v>
      </c>
      <c r="F319" s="10">
        <v>216.53</v>
      </c>
      <c r="G319" s="10">
        <v>219.6</v>
      </c>
      <c r="H319" s="10">
        <v>215.43</v>
      </c>
      <c r="I319" s="11">
        <v>319.14999999999998</v>
      </c>
      <c r="J319" s="12">
        <v>2.2000000000000001E-3</v>
      </c>
      <c r="K319" s="10">
        <f>'Datos históricos de Credicorp ('!$F319-'Datos históricos de Credicorp ('!$G319</f>
        <v>-3.0699999999999932</v>
      </c>
    </row>
    <row r="320" spans="4:11" outlineLevel="1" x14ac:dyDescent="0.35">
      <c r="D320" s="9">
        <v>45824</v>
      </c>
      <c r="E320" s="10">
        <v>218.32</v>
      </c>
      <c r="F320" s="10">
        <v>217.41</v>
      </c>
      <c r="G320" s="10">
        <v>221.18</v>
      </c>
      <c r="H320" s="10">
        <v>217.41</v>
      </c>
      <c r="I320" s="11">
        <v>198.88</v>
      </c>
      <c r="J320" s="12">
        <v>4.7000000000000002E-3</v>
      </c>
      <c r="K320" s="10">
        <f>'Datos históricos de Credicorp ('!$F320-'Datos históricos de Credicorp ('!$G320</f>
        <v>-3.7700000000000102</v>
      </c>
    </row>
    <row r="321" spans="4:11" outlineLevel="1" x14ac:dyDescent="0.35">
      <c r="D321" s="9">
        <v>45821</v>
      </c>
      <c r="E321" s="10">
        <v>217.3</v>
      </c>
      <c r="F321" s="10">
        <v>216.16</v>
      </c>
      <c r="G321" s="10">
        <v>218.67</v>
      </c>
      <c r="H321" s="10">
        <v>214.98</v>
      </c>
      <c r="I321" s="11">
        <v>203.49</v>
      </c>
      <c r="J321" s="12">
        <v>-5.4000000000000003E-3</v>
      </c>
      <c r="K321" s="10">
        <f>'Datos históricos de Credicorp ('!$F321-'Datos históricos de Credicorp ('!$G321</f>
        <v>-2.5099999999999909</v>
      </c>
    </row>
    <row r="322" spans="4:11" outlineLevel="1" x14ac:dyDescent="0.35">
      <c r="D322" s="9">
        <v>45820</v>
      </c>
      <c r="E322" s="10">
        <v>218.47</v>
      </c>
      <c r="F322" s="10">
        <v>219.06</v>
      </c>
      <c r="G322" s="10">
        <v>221.27</v>
      </c>
      <c r="H322" s="10">
        <v>217.63</v>
      </c>
      <c r="I322" s="11">
        <v>261.45999999999998</v>
      </c>
      <c r="J322" s="12">
        <v>1.1000000000000001E-3</v>
      </c>
      <c r="K322" s="10">
        <f>'Datos históricos de Credicorp ('!$F322-'Datos históricos de Credicorp ('!$G322</f>
        <v>-2.210000000000008</v>
      </c>
    </row>
    <row r="323" spans="4:11" outlineLevel="1" x14ac:dyDescent="0.35">
      <c r="D323" s="9">
        <v>45819</v>
      </c>
      <c r="E323" s="10">
        <v>218.23</v>
      </c>
      <c r="F323" s="10">
        <v>217.41</v>
      </c>
      <c r="G323" s="10">
        <v>220.46</v>
      </c>
      <c r="H323" s="10">
        <v>216.58</v>
      </c>
      <c r="I323" s="11">
        <v>321.86</v>
      </c>
      <c r="J323" s="12">
        <v>6.1000000000000004E-3</v>
      </c>
      <c r="K323" s="10">
        <f>'Datos históricos de Credicorp ('!$F323-'Datos históricos de Credicorp ('!$G323</f>
        <v>-3.0500000000000114</v>
      </c>
    </row>
    <row r="324" spans="4:11" outlineLevel="1" x14ac:dyDescent="0.35">
      <c r="D324" s="9">
        <v>45818</v>
      </c>
      <c r="E324" s="10">
        <v>216.9</v>
      </c>
      <c r="F324" s="10">
        <v>212.75</v>
      </c>
      <c r="G324" s="10">
        <v>217.09</v>
      </c>
      <c r="H324" s="10">
        <v>212.31</v>
      </c>
      <c r="I324" s="11">
        <v>318.24</v>
      </c>
      <c r="J324" s="12">
        <v>1.6400000000000001E-2</v>
      </c>
      <c r="K324" s="10">
        <f>'Datos históricos de Credicorp ('!$F324-'Datos históricos de Credicorp ('!$G324</f>
        <v>-4.3400000000000034</v>
      </c>
    </row>
    <row r="325" spans="4:11" outlineLevel="1" x14ac:dyDescent="0.35">
      <c r="D325" s="9">
        <v>45817</v>
      </c>
      <c r="E325" s="10">
        <v>213.4</v>
      </c>
      <c r="F325" s="10">
        <v>216.43</v>
      </c>
      <c r="G325" s="10">
        <v>217.25</v>
      </c>
      <c r="H325" s="10">
        <v>212.88</v>
      </c>
      <c r="I325" s="11">
        <v>310.24</v>
      </c>
      <c r="J325" s="12">
        <v>-1.9099999999999999E-2</v>
      </c>
      <c r="K325" s="10">
        <f>'Datos históricos de Credicorp ('!$F325-'Datos históricos de Credicorp ('!$G325</f>
        <v>-0.81999999999999318</v>
      </c>
    </row>
    <row r="326" spans="4:11" outlineLevel="1" x14ac:dyDescent="0.35">
      <c r="D326" s="9">
        <v>45814</v>
      </c>
      <c r="E326" s="10">
        <v>217.55</v>
      </c>
      <c r="F326" s="10">
        <v>217.27</v>
      </c>
      <c r="G326" s="10">
        <v>218.21</v>
      </c>
      <c r="H326" s="10">
        <v>215.06</v>
      </c>
      <c r="I326" s="11">
        <v>204.28</v>
      </c>
      <c r="J326" s="12">
        <v>1.35E-2</v>
      </c>
      <c r="K326" s="10">
        <f>'Datos históricos de Credicorp ('!$F326-'Datos históricos de Credicorp ('!$G326</f>
        <v>-0.93999999999999773</v>
      </c>
    </row>
    <row r="327" spans="4:11" outlineLevel="1" x14ac:dyDescent="0.35">
      <c r="D327" s="9">
        <v>45813</v>
      </c>
      <c r="E327" s="10">
        <v>214.66</v>
      </c>
      <c r="F327" s="10">
        <v>214.41</v>
      </c>
      <c r="G327" s="10">
        <v>215.8</v>
      </c>
      <c r="H327" s="10">
        <v>209.46</v>
      </c>
      <c r="I327" s="11">
        <v>365.7</v>
      </c>
      <c r="J327" s="12">
        <v>5.4000000000000003E-3</v>
      </c>
      <c r="K327" s="10">
        <f>'Datos históricos de Credicorp ('!$F327-'Datos históricos de Credicorp ('!$G327</f>
        <v>-1.3900000000000148</v>
      </c>
    </row>
    <row r="328" spans="4:11" outlineLevel="1" x14ac:dyDescent="0.35">
      <c r="D328" s="9">
        <v>45812</v>
      </c>
      <c r="E328" s="10">
        <v>213.51</v>
      </c>
      <c r="F328" s="10">
        <v>217.85</v>
      </c>
      <c r="G328" s="10">
        <v>220.35</v>
      </c>
      <c r="H328" s="10">
        <v>212.87</v>
      </c>
      <c r="I328" s="11">
        <v>796.53</v>
      </c>
      <c r="J328" s="12">
        <v>-1.5599999999999999E-2</v>
      </c>
      <c r="K328" s="10">
        <f>'Datos históricos de Credicorp ('!$F328-'Datos históricos de Credicorp ('!$G328</f>
        <v>-2.5</v>
      </c>
    </row>
    <row r="329" spans="4:11" outlineLevel="1" x14ac:dyDescent="0.35">
      <c r="D329" s="9">
        <v>45811</v>
      </c>
      <c r="E329" s="10">
        <v>216.9</v>
      </c>
      <c r="F329" s="10">
        <v>214</v>
      </c>
      <c r="G329" s="10">
        <v>217.36</v>
      </c>
      <c r="H329" s="10">
        <v>213</v>
      </c>
      <c r="I329" s="11">
        <v>558.83000000000004</v>
      </c>
      <c r="J329" s="12">
        <v>1.14E-2</v>
      </c>
      <c r="K329" s="10">
        <f>'Datos históricos de Credicorp ('!$F329-'Datos históricos de Credicorp ('!$G329</f>
        <v>-3.3600000000000136</v>
      </c>
    </row>
    <row r="330" spans="4:11" outlineLevel="1" x14ac:dyDescent="0.35">
      <c r="D330" s="9">
        <v>45810</v>
      </c>
      <c r="E330" s="10">
        <v>214.45</v>
      </c>
      <c r="F330" s="10">
        <v>212.94</v>
      </c>
      <c r="G330" s="10">
        <v>215.67</v>
      </c>
      <c r="H330" s="10">
        <v>212</v>
      </c>
      <c r="I330" s="11">
        <v>597.15</v>
      </c>
      <c r="J330" s="12">
        <v>1.2500000000000001E-2</v>
      </c>
      <c r="K330" s="10">
        <f>'Datos históricos de Credicorp ('!$F330-'Datos históricos de Credicorp ('!$G330</f>
        <v>-2.7299999999999898</v>
      </c>
    </row>
    <row r="331" spans="4:11" outlineLevel="1" x14ac:dyDescent="0.35">
      <c r="D331" s="9">
        <v>45807</v>
      </c>
      <c r="E331" s="10">
        <v>211.81</v>
      </c>
      <c r="F331" s="10">
        <v>208.66</v>
      </c>
      <c r="G331" s="10">
        <v>212.93</v>
      </c>
      <c r="H331" s="10">
        <v>207.81</v>
      </c>
      <c r="I331" s="11">
        <v>637.75</v>
      </c>
      <c r="J331" s="12">
        <v>9.5999999999999992E-3</v>
      </c>
      <c r="K331" s="10">
        <f>'Datos históricos de Credicorp ('!$F331-'Datos históricos de Credicorp ('!$G331</f>
        <v>-4.2700000000000102</v>
      </c>
    </row>
    <row r="332" spans="4:11" outlineLevel="1" x14ac:dyDescent="0.35">
      <c r="D332" s="9">
        <v>45806</v>
      </c>
      <c r="E332" s="10">
        <v>209.79</v>
      </c>
      <c r="F332" s="10">
        <v>208.58</v>
      </c>
      <c r="G332" s="10">
        <v>210.43</v>
      </c>
      <c r="H332" s="10">
        <v>206.6</v>
      </c>
      <c r="I332" s="11">
        <v>539.83000000000004</v>
      </c>
      <c r="J332" s="12">
        <v>6.3E-3</v>
      </c>
      <c r="K332" s="10">
        <f>'Datos históricos de Credicorp ('!$F332-'Datos históricos de Credicorp ('!$G332</f>
        <v>-1.8499999999999943</v>
      </c>
    </row>
    <row r="333" spans="4:11" outlineLevel="1" x14ac:dyDescent="0.35">
      <c r="D333" s="9">
        <v>45805</v>
      </c>
      <c r="E333" s="10">
        <v>208.47</v>
      </c>
      <c r="F333" s="10">
        <v>207.94</v>
      </c>
      <c r="G333" s="10">
        <v>209.06</v>
      </c>
      <c r="H333" s="10">
        <v>206.32</v>
      </c>
      <c r="I333" s="11">
        <v>289.45999999999998</v>
      </c>
      <c r="J333" s="12">
        <v>3.8E-3</v>
      </c>
      <c r="K333" s="10">
        <f>'Datos históricos de Credicorp ('!$F333-'Datos históricos de Credicorp ('!$G333</f>
        <v>-1.1200000000000045</v>
      </c>
    </row>
    <row r="334" spans="4:11" outlineLevel="1" x14ac:dyDescent="0.35">
      <c r="D334" s="9">
        <v>45804</v>
      </c>
      <c r="E334" s="10">
        <v>207.68</v>
      </c>
      <c r="F334" s="10">
        <v>204.27</v>
      </c>
      <c r="G334" s="10">
        <v>207.91</v>
      </c>
      <c r="H334" s="10">
        <v>202.09</v>
      </c>
      <c r="I334" s="11">
        <v>324.08</v>
      </c>
      <c r="J334" s="12">
        <v>1.6799999999999999E-2</v>
      </c>
      <c r="K334" s="10">
        <f>'Datos históricos de Credicorp ('!$F334-'Datos históricos de Credicorp ('!$G334</f>
        <v>-3.6399999999999864</v>
      </c>
    </row>
    <row r="335" spans="4:11" outlineLevel="1" x14ac:dyDescent="0.35">
      <c r="D335" s="9">
        <v>45800</v>
      </c>
      <c r="E335" s="10">
        <v>204.24</v>
      </c>
      <c r="F335" s="10">
        <v>201.92</v>
      </c>
      <c r="G335" s="10">
        <v>206.03</v>
      </c>
      <c r="H335" s="10">
        <v>201.33</v>
      </c>
      <c r="I335" s="11">
        <v>294.02</v>
      </c>
      <c r="J335" s="12">
        <v>-8.9999999999999998E-4</v>
      </c>
      <c r="K335" s="10">
        <f>'Datos históricos de Credicorp ('!$F335-'Datos históricos de Credicorp ('!$G335</f>
        <v>-4.1100000000000136</v>
      </c>
    </row>
    <row r="336" spans="4:11" outlineLevel="1" x14ac:dyDescent="0.35">
      <c r="D336" s="9">
        <v>45799</v>
      </c>
      <c r="E336" s="10">
        <v>204.42</v>
      </c>
      <c r="F336" s="10">
        <v>199.87</v>
      </c>
      <c r="G336" s="10">
        <v>204.7</v>
      </c>
      <c r="H336" s="10">
        <v>199.78</v>
      </c>
      <c r="I336" s="11">
        <v>440.65</v>
      </c>
      <c r="J336" s="12">
        <v>1.9699999999999999E-2</v>
      </c>
      <c r="K336" s="10">
        <f>'Datos históricos de Credicorp ('!$F336-'Datos históricos de Credicorp ('!$G336</f>
        <v>-4.8299999999999841</v>
      </c>
    </row>
    <row r="337" spans="4:11" outlineLevel="1" x14ac:dyDescent="0.35">
      <c r="D337" s="9">
        <v>45798</v>
      </c>
      <c r="E337" s="10">
        <v>200.47</v>
      </c>
      <c r="F337" s="10">
        <v>200.26</v>
      </c>
      <c r="G337" s="10">
        <v>201.34</v>
      </c>
      <c r="H337" s="10">
        <v>197.16</v>
      </c>
      <c r="I337" s="11">
        <v>365.09</v>
      </c>
      <c r="J337" s="12">
        <v>8.0000000000000002E-3</v>
      </c>
      <c r="K337" s="10">
        <f>'Datos históricos de Credicorp ('!$F337-'Datos históricos de Credicorp ('!$G337</f>
        <v>-1.0800000000000125</v>
      </c>
    </row>
    <row r="338" spans="4:11" outlineLevel="1" x14ac:dyDescent="0.35">
      <c r="D338" s="9">
        <v>45797</v>
      </c>
      <c r="E338" s="10">
        <v>198.87</v>
      </c>
      <c r="F338" s="10">
        <v>195.14</v>
      </c>
      <c r="G338" s="10">
        <v>198.93</v>
      </c>
      <c r="H338" s="10">
        <v>193.88</v>
      </c>
      <c r="I338" s="11">
        <v>279.70999999999998</v>
      </c>
      <c r="J338" s="12">
        <v>2.7799999999999998E-2</v>
      </c>
      <c r="K338" s="10">
        <f>'Datos históricos de Credicorp ('!$F338-'Datos históricos de Credicorp ('!$G338</f>
        <v>-3.7900000000000205</v>
      </c>
    </row>
    <row r="339" spans="4:11" outlineLevel="1" x14ac:dyDescent="0.35">
      <c r="D339" s="9">
        <v>45796</v>
      </c>
      <c r="E339" s="10">
        <v>193.5</v>
      </c>
      <c r="F339" s="10">
        <v>195.18</v>
      </c>
      <c r="G339" s="10">
        <v>197.89</v>
      </c>
      <c r="H339" s="10">
        <v>193.13</v>
      </c>
      <c r="I339" s="11">
        <v>294.89999999999998</v>
      </c>
      <c r="J339" s="12">
        <v>-6.3100000000000003E-2</v>
      </c>
      <c r="K339" s="10">
        <f>'Datos históricos de Credicorp ('!$F339-'Datos históricos de Credicorp ('!$G339</f>
        <v>-2.7099999999999795</v>
      </c>
    </row>
    <row r="340" spans="4:11" outlineLevel="1" x14ac:dyDescent="0.35">
      <c r="D340" s="9">
        <v>45793</v>
      </c>
      <c r="E340" s="10">
        <v>206.54</v>
      </c>
      <c r="F340" s="10">
        <v>207.29</v>
      </c>
      <c r="G340" s="10">
        <v>207.55</v>
      </c>
      <c r="H340" s="10">
        <v>202.12</v>
      </c>
      <c r="I340" s="11">
        <v>379.26</v>
      </c>
      <c r="J340" s="12">
        <v>-9.4999999999999998E-3</v>
      </c>
      <c r="K340" s="10">
        <f>'Datos históricos de Credicorp ('!$F340-'Datos históricos de Credicorp ('!$G340</f>
        <v>-0.26000000000001933</v>
      </c>
    </row>
    <row r="341" spans="4:11" outlineLevel="1" x14ac:dyDescent="0.35">
      <c r="D341" s="9">
        <v>45792</v>
      </c>
      <c r="E341" s="10">
        <v>208.52</v>
      </c>
      <c r="F341" s="10">
        <v>207.05</v>
      </c>
      <c r="G341" s="10">
        <v>210.71</v>
      </c>
      <c r="H341" s="10">
        <v>206.22</v>
      </c>
      <c r="I341" s="11">
        <v>292.10000000000002</v>
      </c>
      <c r="J341" s="12">
        <v>2.8999999999999998E-3</v>
      </c>
      <c r="K341" s="10">
        <f>'Datos históricos de Credicorp ('!$F341-'Datos históricos de Credicorp ('!$G341</f>
        <v>-3.6599999999999966</v>
      </c>
    </row>
    <row r="342" spans="4:11" outlineLevel="1" x14ac:dyDescent="0.35">
      <c r="D342" s="9">
        <v>45791</v>
      </c>
      <c r="E342" s="10">
        <v>207.91</v>
      </c>
      <c r="F342" s="10">
        <v>205.08</v>
      </c>
      <c r="G342" s="10">
        <v>208.21</v>
      </c>
      <c r="H342" s="10">
        <v>204.72</v>
      </c>
      <c r="I342" s="11">
        <v>293.77</v>
      </c>
      <c r="J342" s="12">
        <v>7.0000000000000001E-3</v>
      </c>
      <c r="K342" s="10">
        <f>'Datos históricos de Credicorp ('!$F342-'Datos históricos de Credicorp ('!$G342</f>
        <v>-3.1299999999999955</v>
      </c>
    </row>
    <row r="343" spans="4:11" outlineLevel="1" x14ac:dyDescent="0.35">
      <c r="D343" s="9">
        <v>45790</v>
      </c>
      <c r="E343" s="10">
        <v>206.47</v>
      </c>
      <c r="F343" s="10">
        <v>204.4</v>
      </c>
      <c r="G343" s="10">
        <v>207.84</v>
      </c>
      <c r="H343" s="10">
        <v>202</v>
      </c>
      <c r="I343" s="11">
        <v>290.43</v>
      </c>
      <c r="J343" s="12">
        <v>1.5800000000000002E-2</v>
      </c>
      <c r="K343" s="10">
        <f>'Datos históricos de Credicorp ('!$F343-'Datos históricos de Credicorp ('!$G343</f>
        <v>-3.4399999999999977</v>
      </c>
    </row>
    <row r="344" spans="4:11" outlineLevel="1" x14ac:dyDescent="0.35">
      <c r="D344" s="9">
        <v>45789</v>
      </c>
      <c r="E344" s="10">
        <v>203.25</v>
      </c>
      <c r="F344" s="10">
        <v>206.98</v>
      </c>
      <c r="G344" s="10">
        <v>208.18</v>
      </c>
      <c r="H344" s="10">
        <v>201.93</v>
      </c>
      <c r="I344" s="11">
        <v>172.08</v>
      </c>
      <c r="J344" s="12">
        <v>-1.03E-2</v>
      </c>
      <c r="K344" s="10">
        <f>'Datos históricos de Credicorp ('!$F344-'Datos históricos de Credicorp ('!$G344</f>
        <v>-1.2000000000000171</v>
      </c>
    </row>
    <row r="345" spans="4:11" outlineLevel="1" x14ac:dyDescent="0.35">
      <c r="D345" s="9">
        <v>45786</v>
      </c>
      <c r="E345" s="10">
        <v>205.37</v>
      </c>
      <c r="F345" s="10">
        <v>204.75</v>
      </c>
      <c r="G345" s="10">
        <v>206.98</v>
      </c>
      <c r="H345" s="10">
        <v>204.11</v>
      </c>
      <c r="I345" s="11">
        <v>176.65</v>
      </c>
      <c r="J345" s="12">
        <v>7.1000000000000004E-3</v>
      </c>
      <c r="K345" s="10">
        <f>'Datos históricos de Credicorp ('!$F345-'Datos históricos de Credicorp ('!$G345</f>
        <v>-2.2299999999999898</v>
      </c>
    </row>
    <row r="346" spans="4:11" outlineLevel="1" x14ac:dyDescent="0.35">
      <c r="D346" s="9">
        <v>45785</v>
      </c>
      <c r="E346" s="10">
        <v>203.92</v>
      </c>
      <c r="F346" s="10">
        <v>201.98</v>
      </c>
      <c r="G346" s="10">
        <v>205.02</v>
      </c>
      <c r="H346" s="10">
        <v>199.77</v>
      </c>
      <c r="I346" s="11">
        <v>223.87</v>
      </c>
      <c r="J346" s="12">
        <v>1.8200000000000001E-2</v>
      </c>
      <c r="K346" s="10">
        <f>'Datos históricos de Credicorp ('!$F346-'Datos históricos de Credicorp ('!$G346</f>
        <v>-3.0400000000000205</v>
      </c>
    </row>
    <row r="347" spans="4:11" outlineLevel="1" x14ac:dyDescent="0.35">
      <c r="D347" s="9">
        <v>45784</v>
      </c>
      <c r="E347" s="10">
        <v>200.27</v>
      </c>
      <c r="F347" s="10">
        <v>201.4</v>
      </c>
      <c r="G347" s="10">
        <v>203.4</v>
      </c>
      <c r="H347" s="10">
        <v>198.73</v>
      </c>
      <c r="I347" s="11">
        <v>331.35</v>
      </c>
      <c r="J347" s="12">
        <v>-8.0000000000000002E-3</v>
      </c>
      <c r="K347" s="10">
        <f>'Datos históricos de Credicorp ('!$F347-'Datos históricos de Credicorp ('!$G347</f>
        <v>-2</v>
      </c>
    </row>
    <row r="348" spans="4:11" outlineLevel="1" x14ac:dyDescent="0.35">
      <c r="D348" s="9">
        <v>45783</v>
      </c>
      <c r="E348" s="10">
        <v>201.88</v>
      </c>
      <c r="F348" s="10">
        <v>199.88</v>
      </c>
      <c r="G348" s="10">
        <v>202.4</v>
      </c>
      <c r="H348" s="10">
        <v>199.25</v>
      </c>
      <c r="I348" s="11">
        <v>253.39</v>
      </c>
      <c r="J348" s="12">
        <v>5.7999999999999996E-3</v>
      </c>
      <c r="K348" s="10">
        <f>'Datos históricos de Credicorp ('!$F348-'Datos históricos de Credicorp ('!$G348</f>
        <v>-2.5200000000000102</v>
      </c>
    </row>
    <row r="349" spans="4:11" outlineLevel="1" x14ac:dyDescent="0.35">
      <c r="D349" s="9">
        <v>45782</v>
      </c>
      <c r="E349" s="10">
        <v>200.71</v>
      </c>
      <c r="F349" s="10">
        <v>201.82</v>
      </c>
      <c r="G349" s="10">
        <v>203.09</v>
      </c>
      <c r="H349" s="10">
        <v>200.08</v>
      </c>
      <c r="I349" s="11">
        <v>201.71</v>
      </c>
      <c r="J349" s="12">
        <v>-2.5000000000000001E-3</v>
      </c>
      <c r="K349" s="10">
        <f>'Datos históricos de Credicorp ('!$F349-'Datos históricos de Credicorp ('!$G349</f>
        <v>-1.2700000000000102</v>
      </c>
    </row>
    <row r="350" spans="4:11" outlineLevel="1" x14ac:dyDescent="0.35">
      <c r="D350" s="9">
        <v>45779</v>
      </c>
      <c r="E350" s="10">
        <v>201.21</v>
      </c>
      <c r="F350" s="10">
        <v>200.72</v>
      </c>
      <c r="G350" s="10">
        <v>202.05</v>
      </c>
      <c r="H350" s="10">
        <v>198.46</v>
      </c>
      <c r="I350" s="11">
        <v>459.59</v>
      </c>
      <c r="J350" s="12">
        <v>1.6199999999999999E-2</v>
      </c>
      <c r="K350" s="10">
        <f>'Datos históricos de Credicorp ('!$F350-'Datos históricos de Credicorp ('!$G350</f>
        <v>-1.3300000000000125</v>
      </c>
    </row>
    <row r="351" spans="4:11" outlineLevel="1" x14ac:dyDescent="0.35">
      <c r="D351" s="9">
        <v>45778</v>
      </c>
      <c r="E351" s="10">
        <v>198</v>
      </c>
      <c r="F351" s="10">
        <v>201.06</v>
      </c>
      <c r="G351" s="10">
        <v>201.84</v>
      </c>
      <c r="H351" s="10">
        <v>197.1</v>
      </c>
      <c r="I351" s="11">
        <v>120.25</v>
      </c>
      <c r="J351" s="12">
        <v>-2.07E-2</v>
      </c>
      <c r="K351" s="10">
        <f>'Datos históricos de Credicorp ('!$F351-'Datos históricos de Credicorp ('!$G351</f>
        <v>-0.78000000000000114</v>
      </c>
    </row>
    <row r="352" spans="4:11" outlineLevel="1" x14ac:dyDescent="0.35">
      <c r="D352" s="9">
        <v>45777</v>
      </c>
      <c r="E352" s="10">
        <v>202.19</v>
      </c>
      <c r="F352" s="10">
        <v>199</v>
      </c>
      <c r="G352" s="10">
        <v>202.19</v>
      </c>
      <c r="H352" s="10">
        <v>196</v>
      </c>
      <c r="I352" s="11">
        <v>292.81</v>
      </c>
      <c r="J352" s="12">
        <v>1.01E-2</v>
      </c>
      <c r="K352" s="10">
        <f>'Datos históricos de Credicorp ('!$F352-'Datos históricos de Credicorp ('!$G352</f>
        <v>-3.1899999999999977</v>
      </c>
    </row>
    <row r="353" spans="4:11" outlineLevel="1" x14ac:dyDescent="0.35">
      <c r="D353" s="9">
        <v>45776</v>
      </c>
      <c r="E353" s="10">
        <v>200.17</v>
      </c>
      <c r="F353" s="10">
        <v>200</v>
      </c>
      <c r="G353" s="10">
        <v>202.54</v>
      </c>
      <c r="H353" s="10">
        <v>198.28</v>
      </c>
      <c r="I353" s="11">
        <v>342.89</v>
      </c>
      <c r="J353" s="12">
        <v>2.5999999999999999E-3</v>
      </c>
      <c r="K353" s="10">
        <f>'Datos históricos de Credicorp ('!$F353-'Datos históricos de Credicorp ('!$G353</f>
        <v>-2.539999999999992</v>
      </c>
    </row>
    <row r="354" spans="4:11" outlineLevel="1" x14ac:dyDescent="0.35">
      <c r="D354" s="9">
        <v>45775</v>
      </c>
      <c r="E354" s="10">
        <v>199.65</v>
      </c>
      <c r="F354" s="10">
        <v>196.85</v>
      </c>
      <c r="G354" s="10">
        <v>200.79</v>
      </c>
      <c r="H354" s="10">
        <v>196.85</v>
      </c>
      <c r="I354" s="11">
        <v>211.36</v>
      </c>
      <c r="J354" s="12">
        <v>8.9999999999999993E-3</v>
      </c>
      <c r="K354" s="10">
        <f>'Datos históricos de Credicorp ('!$F354-'Datos históricos de Credicorp ('!$G354</f>
        <v>-3.9399999999999977</v>
      </c>
    </row>
    <row r="355" spans="4:11" outlineLevel="1" x14ac:dyDescent="0.35">
      <c r="D355" s="9">
        <v>45772</v>
      </c>
      <c r="E355" s="10">
        <v>197.87</v>
      </c>
      <c r="F355" s="10">
        <v>194.2</v>
      </c>
      <c r="G355" s="10">
        <v>197.87</v>
      </c>
      <c r="H355" s="10">
        <v>191.7</v>
      </c>
      <c r="I355" s="11">
        <v>164.74</v>
      </c>
      <c r="J355" s="12">
        <v>9.2999999999999992E-3</v>
      </c>
      <c r="K355" s="10">
        <f>'Datos históricos de Credicorp ('!$F355-'Datos históricos de Credicorp ('!$G355</f>
        <v>-3.6700000000000159</v>
      </c>
    </row>
    <row r="356" spans="4:11" outlineLevel="1" x14ac:dyDescent="0.35">
      <c r="D356" s="9">
        <v>45771</v>
      </c>
      <c r="E356" s="10">
        <v>196.05</v>
      </c>
      <c r="F356" s="10">
        <v>192.61</v>
      </c>
      <c r="G356" s="10">
        <v>196.05</v>
      </c>
      <c r="H356" s="10">
        <v>191.66</v>
      </c>
      <c r="I356" s="11">
        <v>314.08</v>
      </c>
      <c r="J356" s="12">
        <v>1.8200000000000001E-2</v>
      </c>
      <c r="K356" s="10">
        <f>'Datos históricos de Credicorp ('!$F356-'Datos históricos de Credicorp ('!$G356</f>
        <v>-3.4399999999999977</v>
      </c>
    </row>
    <row r="357" spans="4:11" outlineLevel="1" x14ac:dyDescent="0.35">
      <c r="D357" s="9">
        <v>45770</v>
      </c>
      <c r="E357" s="10">
        <v>192.55</v>
      </c>
      <c r="F357" s="10">
        <v>193.26</v>
      </c>
      <c r="G357" s="10">
        <v>194.6</v>
      </c>
      <c r="H357" s="10">
        <v>191.3</v>
      </c>
      <c r="I357" s="11">
        <v>249.51</v>
      </c>
      <c r="J357" s="12">
        <v>6.7000000000000002E-3</v>
      </c>
      <c r="K357" s="10">
        <f>'Datos históricos de Credicorp ('!$F357-'Datos históricos de Credicorp ('!$G357</f>
        <v>-1.3400000000000034</v>
      </c>
    </row>
    <row r="358" spans="4:11" outlineLevel="1" x14ac:dyDescent="0.35">
      <c r="D358" s="9">
        <v>45769</v>
      </c>
      <c r="E358" s="10">
        <v>191.27</v>
      </c>
      <c r="F358" s="10">
        <v>187.04</v>
      </c>
      <c r="G358" s="10">
        <v>191.59</v>
      </c>
      <c r="H358" s="10">
        <v>185.49</v>
      </c>
      <c r="I358" s="11">
        <v>225.72</v>
      </c>
      <c r="J358" s="12">
        <v>3.4099999999999998E-2</v>
      </c>
      <c r="K358" s="10">
        <f>'Datos históricos de Credicorp ('!$F358-'Datos históricos de Credicorp ('!$G358</f>
        <v>-4.5500000000000114</v>
      </c>
    </row>
    <row r="359" spans="4:11" outlineLevel="1" x14ac:dyDescent="0.35">
      <c r="D359" s="9">
        <v>45768</v>
      </c>
      <c r="E359" s="10">
        <v>184.96</v>
      </c>
      <c r="F359" s="10">
        <v>185.23</v>
      </c>
      <c r="G359" s="10">
        <v>185.5</v>
      </c>
      <c r="H359" s="10">
        <v>183.51</v>
      </c>
      <c r="I359" s="11">
        <v>88.6</v>
      </c>
      <c r="J359" s="12">
        <v>-8.9999999999999998E-4</v>
      </c>
      <c r="K359" s="10">
        <f>'Datos históricos de Credicorp ('!$F359-'Datos históricos de Credicorp ('!$G359</f>
        <v>-0.27000000000001023</v>
      </c>
    </row>
    <row r="360" spans="4:11" outlineLevel="1" x14ac:dyDescent="0.35">
      <c r="D360" s="9">
        <v>45764</v>
      </c>
      <c r="E360" s="10">
        <v>185.13</v>
      </c>
      <c r="F360" s="10">
        <v>185.63</v>
      </c>
      <c r="G360" s="10">
        <v>187.83</v>
      </c>
      <c r="H360" s="10">
        <v>183.59</v>
      </c>
      <c r="I360" s="11">
        <v>180.43</v>
      </c>
      <c r="J360" s="12">
        <v>-2.9999999999999997E-4</v>
      </c>
      <c r="K360" s="10">
        <f>'Datos históricos de Credicorp ('!$F360-'Datos históricos de Credicorp ('!$G360</f>
        <v>-2.2000000000000171</v>
      </c>
    </row>
    <row r="361" spans="4:11" outlineLevel="1" x14ac:dyDescent="0.35">
      <c r="D361" s="9">
        <v>45763</v>
      </c>
      <c r="E361" s="10">
        <v>185.19</v>
      </c>
      <c r="F361" s="10">
        <v>184.76</v>
      </c>
      <c r="G361" s="10">
        <v>186.4</v>
      </c>
      <c r="H361" s="10">
        <v>183.25</v>
      </c>
      <c r="I361" s="11">
        <v>317.11</v>
      </c>
      <c r="J361" s="12">
        <v>5.9999999999999995E-4</v>
      </c>
      <c r="K361" s="10">
        <f>'Datos históricos de Credicorp ('!$F361-'Datos históricos de Credicorp ('!$G361</f>
        <v>-1.6400000000000148</v>
      </c>
    </row>
    <row r="362" spans="4:11" outlineLevel="1" x14ac:dyDescent="0.35">
      <c r="D362" s="9">
        <v>45762</v>
      </c>
      <c r="E362" s="10">
        <v>185.08</v>
      </c>
      <c r="F362" s="10">
        <v>183.39</v>
      </c>
      <c r="G362" s="10">
        <v>187.5</v>
      </c>
      <c r="H362" s="10">
        <v>182.76</v>
      </c>
      <c r="I362" s="11">
        <v>285.18</v>
      </c>
      <c r="J362" s="12">
        <v>4.3E-3</v>
      </c>
      <c r="K362" s="10">
        <f>'Datos históricos de Credicorp ('!$F362-'Datos históricos de Credicorp ('!$G362</f>
        <v>-4.1100000000000136</v>
      </c>
    </row>
    <row r="363" spans="4:11" outlineLevel="1" x14ac:dyDescent="0.35">
      <c r="D363" s="9">
        <v>45761</v>
      </c>
      <c r="E363" s="10">
        <v>184.28</v>
      </c>
      <c r="F363" s="10">
        <v>180.12</v>
      </c>
      <c r="G363" s="10">
        <v>185.42</v>
      </c>
      <c r="H363" s="10">
        <v>180.12</v>
      </c>
      <c r="I363" s="11">
        <v>243.96</v>
      </c>
      <c r="J363" s="12">
        <v>3.5999999999999997E-2</v>
      </c>
      <c r="K363" s="10">
        <f>'Datos históricos de Credicorp ('!$F363-'Datos históricos de Credicorp ('!$G363</f>
        <v>-5.2999999999999829</v>
      </c>
    </row>
    <row r="364" spans="4:11" outlineLevel="1" x14ac:dyDescent="0.35">
      <c r="D364" s="9">
        <v>45758</v>
      </c>
      <c r="E364" s="10">
        <v>177.87</v>
      </c>
      <c r="F364" s="10">
        <v>173.49</v>
      </c>
      <c r="G364" s="10">
        <v>179.86</v>
      </c>
      <c r="H364" s="10">
        <v>169.64</v>
      </c>
      <c r="I364" s="11">
        <v>258.25</v>
      </c>
      <c r="J364" s="12">
        <v>3.3700000000000001E-2</v>
      </c>
      <c r="K364" s="10">
        <f>'Datos históricos de Credicorp ('!$F364-'Datos históricos de Credicorp ('!$G364</f>
        <v>-6.3700000000000045</v>
      </c>
    </row>
    <row r="365" spans="4:11" outlineLevel="1" x14ac:dyDescent="0.35">
      <c r="D365" s="9">
        <v>45757</v>
      </c>
      <c r="E365" s="10">
        <v>172.07</v>
      </c>
      <c r="F365" s="10">
        <v>176.2</v>
      </c>
      <c r="G365" s="10">
        <v>176.22</v>
      </c>
      <c r="H365" s="10">
        <v>168.06</v>
      </c>
      <c r="I365" s="11">
        <v>244.43</v>
      </c>
      <c r="J365" s="12">
        <v>-3.3399999999999999E-2</v>
      </c>
      <c r="K365" s="10">
        <f>'Datos históricos de Credicorp ('!$F365-'Datos históricos de Credicorp ('!$G365</f>
        <v>-2.0000000000010232E-2</v>
      </c>
    </row>
    <row r="366" spans="4:11" outlineLevel="1" x14ac:dyDescent="0.35">
      <c r="D366" s="9">
        <v>45756</v>
      </c>
      <c r="E366" s="10">
        <v>178.02</v>
      </c>
      <c r="F366" s="10">
        <v>168.64</v>
      </c>
      <c r="G366" s="10">
        <v>180.45</v>
      </c>
      <c r="H366" s="10">
        <v>166.11</v>
      </c>
      <c r="I366" s="11">
        <v>634.59</v>
      </c>
      <c r="J366" s="12">
        <v>4.7899999999999998E-2</v>
      </c>
      <c r="K366" s="10">
        <f>'Datos históricos de Credicorp ('!$F366-'Datos históricos de Credicorp ('!$G366</f>
        <v>-11.810000000000002</v>
      </c>
    </row>
    <row r="367" spans="4:11" outlineLevel="1" x14ac:dyDescent="0.35">
      <c r="D367" s="9">
        <v>45755</v>
      </c>
      <c r="E367" s="10">
        <v>169.89</v>
      </c>
      <c r="F367" s="10">
        <v>175.75</v>
      </c>
      <c r="G367" s="10">
        <v>178.59</v>
      </c>
      <c r="H367" s="10">
        <v>169.1</v>
      </c>
      <c r="I367" s="11">
        <v>760.66</v>
      </c>
      <c r="J367" s="12">
        <v>-6.0000000000000001E-3</v>
      </c>
      <c r="K367" s="10">
        <f>'Datos históricos de Credicorp ('!$F367-'Datos históricos de Credicorp ('!$G367</f>
        <v>-2.8400000000000034</v>
      </c>
    </row>
    <row r="368" spans="4:11" outlineLevel="1" x14ac:dyDescent="0.35">
      <c r="D368" s="9">
        <v>45754</v>
      </c>
      <c r="E368" s="10">
        <v>170.91</v>
      </c>
      <c r="F368" s="10">
        <v>173.21</v>
      </c>
      <c r="G368" s="10">
        <v>180.48</v>
      </c>
      <c r="H368" s="10">
        <v>165.51</v>
      </c>
      <c r="I368" s="11">
        <v>912.78</v>
      </c>
      <c r="J368" s="12">
        <v>-4.3799999999999999E-2</v>
      </c>
      <c r="K368" s="10">
        <f>'Datos históricos de Credicorp ('!$F368-'Datos históricos de Credicorp ('!$G368</f>
        <v>-7.2699999999999818</v>
      </c>
    </row>
    <row r="369" spans="4:11" outlineLevel="1" x14ac:dyDescent="0.35">
      <c r="D369" s="9">
        <v>45751</v>
      </c>
      <c r="E369" s="10">
        <v>178.74</v>
      </c>
      <c r="F369" s="10">
        <v>185.18</v>
      </c>
      <c r="G369" s="10">
        <v>185.18</v>
      </c>
      <c r="H369" s="10">
        <v>174.42</v>
      </c>
      <c r="I369" s="11">
        <v>646.33000000000004</v>
      </c>
      <c r="J369" s="12">
        <v>-5.5399999999999998E-2</v>
      </c>
      <c r="K369" s="10">
        <f>'Datos históricos de Credicorp ('!$F369-'Datos históricos de Credicorp ('!$G369</f>
        <v>0</v>
      </c>
    </row>
    <row r="370" spans="4:11" outlineLevel="1" x14ac:dyDescent="0.35">
      <c r="D370" s="9">
        <v>45750</v>
      </c>
      <c r="E370" s="10">
        <v>189.23</v>
      </c>
      <c r="F370" s="10">
        <v>188.48</v>
      </c>
      <c r="G370" s="10">
        <v>192.39</v>
      </c>
      <c r="H370" s="10">
        <v>187.29</v>
      </c>
      <c r="I370" s="11">
        <v>269.22000000000003</v>
      </c>
      <c r="J370" s="12">
        <v>-2.2599999999999999E-2</v>
      </c>
      <c r="K370" s="10">
        <f>'Datos históricos de Credicorp ('!$F370-'Datos históricos de Credicorp ('!$G370</f>
        <v>-3.9099999999999966</v>
      </c>
    </row>
    <row r="371" spans="4:11" outlineLevel="1" x14ac:dyDescent="0.35">
      <c r="D371" s="9">
        <v>45749</v>
      </c>
      <c r="E371" s="10">
        <v>193.6</v>
      </c>
      <c r="F371" s="10">
        <v>190.67</v>
      </c>
      <c r="G371" s="10">
        <v>193.65</v>
      </c>
      <c r="H371" s="10">
        <v>190.48</v>
      </c>
      <c r="I371" s="11">
        <v>208.6</v>
      </c>
      <c r="J371" s="12">
        <v>5.4999999999999997E-3</v>
      </c>
      <c r="K371" s="10">
        <f>'Datos históricos de Credicorp ('!$F371-'Datos históricos de Credicorp ('!$G371</f>
        <v>-2.9800000000000182</v>
      </c>
    </row>
    <row r="372" spans="4:11" outlineLevel="1" x14ac:dyDescent="0.35">
      <c r="D372" s="9">
        <v>45748</v>
      </c>
      <c r="E372" s="10">
        <v>192.54</v>
      </c>
      <c r="F372" s="10">
        <v>186.9</v>
      </c>
      <c r="G372" s="10">
        <v>193.31</v>
      </c>
      <c r="H372" s="10">
        <v>186.63</v>
      </c>
      <c r="I372" s="11">
        <v>237.3</v>
      </c>
      <c r="J372" s="12">
        <v>3.4299999999999997E-2</v>
      </c>
      <c r="K372" s="10">
        <f>'Datos históricos de Credicorp ('!$F372-'Datos históricos de Credicorp ('!$G372</f>
        <v>-6.4099999999999966</v>
      </c>
    </row>
    <row r="373" spans="4:11" outlineLevel="1" x14ac:dyDescent="0.35">
      <c r="D373" s="9">
        <v>45747</v>
      </c>
      <c r="E373" s="10">
        <v>186.16</v>
      </c>
      <c r="F373" s="10">
        <v>185.45</v>
      </c>
      <c r="G373" s="10">
        <v>187.44</v>
      </c>
      <c r="H373" s="10">
        <v>184.7</v>
      </c>
      <c r="I373" s="11">
        <v>421.23</v>
      </c>
      <c r="J373" s="12">
        <v>-1.06E-2</v>
      </c>
      <c r="K373" s="10">
        <f>'Datos históricos de Credicorp ('!$F373-'Datos históricos de Credicorp ('!$G373</f>
        <v>-1.9900000000000091</v>
      </c>
    </row>
    <row r="374" spans="4:11" outlineLevel="1" x14ac:dyDescent="0.35">
      <c r="D374" s="9">
        <v>45744</v>
      </c>
      <c r="E374" s="10">
        <v>188.16</v>
      </c>
      <c r="F374" s="10">
        <v>190.84</v>
      </c>
      <c r="G374" s="10">
        <v>191.96</v>
      </c>
      <c r="H374" s="10">
        <v>186.46</v>
      </c>
      <c r="I374" s="11">
        <v>244.68</v>
      </c>
      <c r="J374" s="12">
        <v>-1.29E-2</v>
      </c>
      <c r="K374" s="10">
        <f>'Datos históricos de Credicorp ('!$F374-'Datos históricos de Credicorp ('!$G374</f>
        <v>-1.1200000000000045</v>
      </c>
    </row>
    <row r="375" spans="4:11" outlineLevel="1" x14ac:dyDescent="0.35">
      <c r="D375" s="9">
        <v>45743</v>
      </c>
      <c r="E375" s="10">
        <v>190.62</v>
      </c>
      <c r="F375" s="10">
        <v>190.57</v>
      </c>
      <c r="G375" s="10">
        <v>194.4</v>
      </c>
      <c r="H375" s="10">
        <v>189.56</v>
      </c>
      <c r="I375" s="11">
        <v>481.09</v>
      </c>
      <c r="J375" s="12">
        <v>-5.4999999999999997E-3</v>
      </c>
      <c r="K375" s="10">
        <f>'Datos históricos de Credicorp ('!$F375-'Datos históricos de Credicorp ('!$G375</f>
        <v>-3.8300000000000125</v>
      </c>
    </row>
    <row r="376" spans="4:11" outlineLevel="1" x14ac:dyDescent="0.35">
      <c r="D376" s="9">
        <v>45742</v>
      </c>
      <c r="E376" s="10">
        <v>191.68</v>
      </c>
      <c r="F376" s="10">
        <v>196.83</v>
      </c>
      <c r="G376" s="10">
        <v>197.62</v>
      </c>
      <c r="H376" s="10">
        <v>190.2</v>
      </c>
      <c r="I376" s="11">
        <v>543.84</v>
      </c>
      <c r="J376" s="12">
        <v>-2.9000000000000001E-2</v>
      </c>
      <c r="K376" s="10">
        <f>'Datos históricos de Credicorp ('!$F376-'Datos históricos de Credicorp ('!$G376</f>
        <v>-0.78999999999999204</v>
      </c>
    </row>
    <row r="377" spans="4:11" outlineLevel="1" x14ac:dyDescent="0.35">
      <c r="D377" s="9">
        <v>45741</v>
      </c>
      <c r="E377" s="10">
        <v>197.4</v>
      </c>
      <c r="F377" s="10">
        <v>192.81</v>
      </c>
      <c r="G377" s="10">
        <v>197.65</v>
      </c>
      <c r="H377" s="10">
        <v>191.21</v>
      </c>
      <c r="I377" s="11">
        <v>367.99</v>
      </c>
      <c r="J377" s="12">
        <v>2.7300000000000001E-2</v>
      </c>
      <c r="K377" s="10">
        <f>'Datos históricos de Credicorp ('!$F377-'Datos históricos de Credicorp ('!$G377</f>
        <v>-4.8400000000000034</v>
      </c>
    </row>
    <row r="378" spans="4:11" outlineLevel="1" x14ac:dyDescent="0.35">
      <c r="D378" s="9">
        <v>45740</v>
      </c>
      <c r="E378" s="10">
        <v>192.16</v>
      </c>
      <c r="F378" s="10">
        <v>194.16</v>
      </c>
      <c r="G378" s="10">
        <v>195.46</v>
      </c>
      <c r="H378" s="10">
        <v>192.16</v>
      </c>
      <c r="I378" s="11">
        <v>172.55</v>
      </c>
      <c r="J378" s="12">
        <v>-7.0000000000000001E-3</v>
      </c>
      <c r="K378" s="10">
        <f>'Datos históricos de Credicorp ('!$F378-'Datos históricos de Credicorp ('!$G378</f>
        <v>-1.3000000000000114</v>
      </c>
    </row>
    <row r="379" spans="4:11" outlineLevel="1" x14ac:dyDescent="0.35">
      <c r="D379" s="9">
        <v>45737</v>
      </c>
      <c r="E379" s="10">
        <v>193.51</v>
      </c>
      <c r="F379" s="10">
        <v>194.27</v>
      </c>
      <c r="G379" s="10">
        <v>194.76</v>
      </c>
      <c r="H379" s="10">
        <v>191.05</v>
      </c>
      <c r="I379" s="11">
        <v>402.15</v>
      </c>
      <c r="J379" s="12">
        <v>-4.0000000000000001E-3</v>
      </c>
      <c r="K379" s="10">
        <f>'Datos históricos de Credicorp ('!$F379-'Datos históricos de Credicorp ('!$G379</f>
        <v>-0.48999999999998067</v>
      </c>
    </row>
    <row r="380" spans="4:11" outlineLevel="1" x14ac:dyDescent="0.35">
      <c r="D380" s="9">
        <v>45736</v>
      </c>
      <c r="E380" s="10">
        <v>194.28</v>
      </c>
      <c r="F380" s="10">
        <v>192.05</v>
      </c>
      <c r="G380" s="10">
        <v>197.26</v>
      </c>
      <c r="H380" s="10">
        <v>189.94</v>
      </c>
      <c r="I380" s="11">
        <v>320.18</v>
      </c>
      <c r="J380" s="12">
        <v>9.7000000000000003E-3</v>
      </c>
      <c r="K380" s="10">
        <f>'Datos históricos de Credicorp ('!$F380-'Datos históricos de Credicorp ('!$G380</f>
        <v>-5.2099999999999795</v>
      </c>
    </row>
    <row r="381" spans="4:11" outlineLevel="1" x14ac:dyDescent="0.35">
      <c r="D381" s="9">
        <v>45735</v>
      </c>
      <c r="E381" s="10">
        <v>192.42</v>
      </c>
      <c r="F381" s="10">
        <v>191.24</v>
      </c>
      <c r="G381" s="10">
        <v>194.06</v>
      </c>
      <c r="H381" s="10">
        <v>187.63</v>
      </c>
      <c r="I381" s="11">
        <v>310.52999999999997</v>
      </c>
      <c r="J381" s="12">
        <v>4.0000000000000001E-3</v>
      </c>
      <c r="K381" s="10">
        <f>'Datos históricos de Credicorp ('!$F381-'Datos históricos de Credicorp ('!$G381</f>
        <v>-2.8199999999999932</v>
      </c>
    </row>
    <row r="382" spans="4:11" outlineLevel="1" x14ac:dyDescent="0.35">
      <c r="D382" s="9">
        <v>45734</v>
      </c>
      <c r="E382" s="10">
        <v>191.66</v>
      </c>
      <c r="F382" s="10">
        <v>191</v>
      </c>
      <c r="G382" s="10">
        <v>193.06</v>
      </c>
      <c r="H382" s="10">
        <v>189.89</v>
      </c>
      <c r="I382" s="11">
        <v>231.78</v>
      </c>
      <c r="J382" s="12">
        <v>4.4999999999999997E-3</v>
      </c>
      <c r="K382" s="10">
        <f>'Datos históricos de Credicorp ('!$F382-'Datos históricos de Credicorp ('!$G382</f>
        <v>-2.0600000000000023</v>
      </c>
    </row>
    <row r="383" spans="4:11" outlineLevel="1" x14ac:dyDescent="0.35">
      <c r="D383" s="9">
        <v>45733</v>
      </c>
      <c r="E383" s="10">
        <v>190.81</v>
      </c>
      <c r="F383" s="10">
        <v>189.5</v>
      </c>
      <c r="G383" s="10">
        <v>192.2</v>
      </c>
      <c r="H383" s="10">
        <v>188.78</v>
      </c>
      <c r="I383" s="11">
        <v>234.93</v>
      </c>
      <c r="J383" s="12">
        <v>7.4999999999999997E-3</v>
      </c>
      <c r="K383" s="10">
        <f>'Datos históricos de Credicorp ('!$F383-'Datos históricos de Credicorp ('!$G383</f>
        <v>-2.6999999999999886</v>
      </c>
    </row>
    <row r="384" spans="4:11" outlineLevel="1" x14ac:dyDescent="0.35">
      <c r="D384" s="9">
        <v>45730</v>
      </c>
      <c r="E384" s="10">
        <v>189.39</v>
      </c>
      <c r="F384" s="10">
        <v>186.33</v>
      </c>
      <c r="G384" s="10">
        <v>189.39</v>
      </c>
      <c r="H384" s="10">
        <v>184</v>
      </c>
      <c r="I384" s="11">
        <v>237.05</v>
      </c>
      <c r="J384" s="12">
        <v>2.3300000000000001E-2</v>
      </c>
      <c r="K384" s="10">
        <f>'Datos históricos de Credicorp ('!$F384-'Datos históricos de Credicorp ('!$G384</f>
        <v>-3.0599999999999739</v>
      </c>
    </row>
    <row r="385" spans="4:11" outlineLevel="1" x14ac:dyDescent="0.35">
      <c r="D385" s="9">
        <v>45729</v>
      </c>
      <c r="E385" s="10">
        <v>185.08</v>
      </c>
      <c r="F385" s="10">
        <v>183.67</v>
      </c>
      <c r="G385" s="10">
        <v>186.97</v>
      </c>
      <c r="H385" s="10">
        <v>180.46</v>
      </c>
      <c r="I385" s="11">
        <v>386.5</v>
      </c>
      <c r="J385" s="12">
        <v>1.15E-2</v>
      </c>
      <c r="K385" s="10">
        <f>'Datos históricos de Credicorp ('!$F385-'Datos históricos de Credicorp ('!$G385</f>
        <v>-3.3000000000000114</v>
      </c>
    </row>
    <row r="386" spans="4:11" outlineLevel="1" x14ac:dyDescent="0.35">
      <c r="D386" s="9">
        <v>45728</v>
      </c>
      <c r="E386" s="10">
        <v>182.97</v>
      </c>
      <c r="F386" s="10">
        <v>182.61</v>
      </c>
      <c r="G386" s="10">
        <v>183.49</v>
      </c>
      <c r="H386" s="10">
        <v>179.21</v>
      </c>
      <c r="I386" s="11">
        <v>342.24</v>
      </c>
      <c r="J386" s="12">
        <v>1.09E-2</v>
      </c>
      <c r="K386" s="10">
        <f>'Datos históricos de Credicorp ('!$F386-'Datos históricos de Credicorp ('!$G386</f>
        <v>-0.87999999999999545</v>
      </c>
    </row>
    <row r="387" spans="4:11" outlineLevel="1" x14ac:dyDescent="0.35">
      <c r="D387" s="9">
        <v>45727</v>
      </c>
      <c r="E387" s="10">
        <v>181</v>
      </c>
      <c r="F387" s="10">
        <v>180.58</v>
      </c>
      <c r="G387" s="10">
        <v>181.87</v>
      </c>
      <c r="H387" s="10">
        <v>179.13</v>
      </c>
      <c r="I387" s="11">
        <v>243.97</v>
      </c>
      <c r="J387" s="12">
        <v>3.8999999999999998E-3</v>
      </c>
      <c r="K387" s="10">
        <f>'Datos históricos de Credicorp ('!$F387-'Datos históricos de Credicorp ('!$G387</f>
        <v>-1.289999999999992</v>
      </c>
    </row>
    <row r="388" spans="4:11" outlineLevel="1" x14ac:dyDescent="0.35">
      <c r="D388" s="9">
        <v>45726</v>
      </c>
      <c r="E388" s="10">
        <v>180.29</v>
      </c>
      <c r="F388" s="10">
        <v>179.79</v>
      </c>
      <c r="G388" s="10">
        <v>182.71</v>
      </c>
      <c r="H388" s="10">
        <v>178.67</v>
      </c>
      <c r="I388" s="11">
        <v>213.44</v>
      </c>
      <c r="J388" s="12">
        <v>-8.8000000000000005E-3</v>
      </c>
      <c r="K388" s="10">
        <f>'Datos históricos de Credicorp ('!$F388-'Datos históricos de Credicorp ('!$G388</f>
        <v>-2.9200000000000159</v>
      </c>
    </row>
    <row r="389" spans="4:11" outlineLevel="1" x14ac:dyDescent="0.35">
      <c r="D389" s="9">
        <v>45723</v>
      </c>
      <c r="E389" s="10">
        <v>181.89</v>
      </c>
      <c r="F389" s="10">
        <v>181.86</v>
      </c>
      <c r="G389" s="10">
        <v>182.76</v>
      </c>
      <c r="H389" s="10">
        <v>179.65</v>
      </c>
      <c r="I389" s="11">
        <v>152.30000000000001</v>
      </c>
      <c r="J389" s="12">
        <v>-8.0000000000000004E-4</v>
      </c>
      <c r="K389" s="10">
        <f>'Datos históricos de Credicorp ('!$F389-'Datos históricos de Credicorp ('!$G389</f>
        <v>-0.89999999999997726</v>
      </c>
    </row>
    <row r="390" spans="4:11" outlineLevel="1" x14ac:dyDescent="0.35">
      <c r="D390" s="9">
        <v>45722</v>
      </c>
      <c r="E390" s="10">
        <v>182.04</v>
      </c>
      <c r="F390" s="10">
        <v>183.16</v>
      </c>
      <c r="G390" s="10">
        <v>185.13</v>
      </c>
      <c r="H390" s="10">
        <v>180.56</v>
      </c>
      <c r="I390" s="11">
        <v>150.62</v>
      </c>
      <c r="J390" s="12">
        <v>-1.04E-2</v>
      </c>
      <c r="K390" s="10">
        <f>'Datos históricos de Credicorp ('!$F390-'Datos históricos de Credicorp ('!$G390</f>
        <v>-1.9699999999999989</v>
      </c>
    </row>
    <row r="391" spans="4:11" outlineLevel="1" x14ac:dyDescent="0.35">
      <c r="D391" s="9">
        <v>45721</v>
      </c>
      <c r="E391" s="10">
        <v>183.95</v>
      </c>
      <c r="F391" s="10">
        <v>184.09</v>
      </c>
      <c r="G391" s="10">
        <v>185.73</v>
      </c>
      <c r="H391" s="10">
        <v>182.62</v>
      </c>
      <c r="I391" s="11">
        <v>297.08</v>
      </c>
      <c r="J391" s="12">
        <v>5.4999999999999997E-3</v>
      </c>
      <c r="K391" s="10">
        <f>'Datos históricos de Credicorp ('!$F391-'Datos históricos de Credicorp ('!$G391</f>
        <v>-1.6399999999999864</v>
      </c>
    </row>
    <row r="392" spans="4:11" outlineLevel="1" x14ac:dyDescent="0.35">
      <c r="D392" s="9">
        <v>45720</v>
      </c>
      <c r="E392" s="10">
        <v>182.94</v>
      </c>
      <c r="F392" s="10">
        <v>182.46</v>
      </c>
      <c r="G392" s="10">
        <v>185.51</v>
      </c>
      <c r="H392" s="10">
        <v>180.12</v>
      </c>
      <c r="I392" s="11">
        <v>237.39</v>
      </c>
      <c r="J392" s="12">
        <v>-3.8999999999999998E-3</v>
      </c>
      <c r="K392" s="10">
        <f>'Datos históricos de Credicorp ('!$F392-'Datos históricos de Credicorp ('!$G392</f>
        <v>-3.0499999999999829</v>
      </c>
    </row>
    <row r="393" spans="4:11" outlineLevel="1" x14ac:dyDescent="0.35">
      <c r="D393" s="9">
        <v>45719</v>
      </c>
      <c r="E393" s="10">
        <v>183.66</v>
      </c>
      <c r="F393" s="10">
        <v>184.12</v>
      </c>
      <c r="G393" s="10">
        <v>186.5</v>
      </c>
      <c r="H393" s="10">
        <v>182.21</v>
      </c>
      <c r="I393" s="11">
        <v>350.93</v>
      </c>
      <c r="J393" s="12">
        <v>3.5000000000000001E-3</v>
      </c>
      <c r="K393" s="10">
        <f>'Datos históricos de Credicorp ('!$F393-'Datos históricos de Credicorp ('!$G393</f>
        <v>-2.3799999999999955</v>
      </c>
    </row>
    <row r="394" spans="4:11" outlineLevel="1" x14ac:dyDescent="0.35">
      <c r="D394" s="9">
        <v>45716</v>
      </c>
      <c r="E394" s="10">
        <v>183.02</v>
      </c>
      <c r="F394" s="10">
        <v>181.78</v>
      </c>
      <c r="G394" s="10">
        <v>183.08</v>
      </c>
      <c r="H394" s="10">
        <v>178.5</v>
      </c>
      <c r="I394" s="11">
        <v>436.19</v>
      </c>
      <c r="J394" s="12">
        <v>7.3000000000000001E-3</v>
      </c>
      <c r="K394" s="10">
        <f>'Datos históricos de Credicorp ('!$F394-'Datos históricos de Credicorp ('!$G394</f>
        <v>-1.3000000000000114</v>
      </c>
    </row>
    <row r="395" spans="4:11" outlineLevel="1" x14ac:dyDescent="0.35">
      <c r="D395" s="9">
        <v>45715</v>
      </c>
      <c r="E395" s="10">
        <v>181.69</v>
      </c>
      <c r="F395" s="10">
        <v>183.96</v>
      </c>
      <c r="G395" s="10">
        <v>184.82</v>
      </c>
      <c r="H395" s="10">
        <v>181.2</v>
      </c>
      <c r="I395" s="11">
        <v>353.13</v>
      </c>
      <c r="J395" s="12">
        <v>-1.2E-2</v>
      </c>
      <c r="K395" s="10">
        <f>'Datos históricos de Credicorp ('!$F395-'Datos históricos de Credicorp ('!$G395</f>
        <v>-0.85999999999998522</v>
      </c>
    </row>
    <row r="396" spans="4:11" outlineLevel="1" x14ac:dyDescent="0.35">
      <c r="D396" s="9">
        <v>45714</v>
      </c>
      <c r="E396" s="10">
        <v>183.89</v>
      </c>
      <c r="F396" s="10">
        <v>182.08</v>
      </c>
      <c r="G396" s="10">
        <v>184.84</v>
      </c>
      <c r="H396" s="10">
        <v>180.84</v>
      </c>
      <c r="I396" s="11">
        <v>276.14999999999998</v>
      </c>
      <c r="J396" s="12">
        <v>1.43E-2</v>
      </c>
      <c r="K396" s="10">
        <f>'Datos históricos de Credicorp ('!$F396-'Datos históricos de Credicorp ('!$G396</f>
        <v>-2.7599999999999909</v>
      </c>
    </row>
    <row r="397" spans="4:11" outlineLevel="1" x14ac:dyDescent="0.35">
      <c r="D397" s="9">
        <v>45713</v>
      </c>
      <c r="E397" s="10">
        <v>181.29</v>
      </c>
      <c r="F397" s="10">
        <v>181.13</v>
      </c>
      <c r="G397" s="10">
        <v>181.89</v>
      </c>
      <c r="H397" s="10">
        <v>178.1</v>
      </c>
      <c r="I397" s="11">
        <v>295.04000000000002</v>
      </c>
      <c r="J397" s="12">
        <v>3.2000000000000002E-3</v>
      </c>
      <c r="K397" s="10">
        <f>'Datos históricos de Credicorp ('!$F397-'Datos históricos de Credicorp ('!$G397</f>
        <v>-0.75999999999999091</v>
      </c>
    </row>
    <row r="398" spans="4:11" outlineLevel="1" x14ac:dyDescent="0.35">
      <c r="D398" s="9">
        <v>45712</v>
      </c>
      <c r="E398" s="10">
        <v>180.72</v>
      </c>
      <c r="F398" s="10">
        <v>179.34</v>
      </c>
      <c r="G398" s="10">
        <v>181.75</v>
      </c>
      <c r="H398" s="10">
        <v>178.52</v>
      </c>
      <c r="I398" s="11">
        <v>306.11</v>
      </c>
      <c r="J398" s="12">
        <v>9.7999999999999997E-3</v>
      </c>
      <c r="K398" s="10">
        <f>'Datos históricos de Credicorp ('!$F398-'Datos históricos de Credicorp ('!$G398</f>
        <v>-2.4099999999999966</v>
      </c>
    </row>
    <row r="399" spans="4:11" outlineLevel="1" x14ac:dyDescent="0.35">
      <c r="D399" s="9">
        <v>45709</v>
      </c>
      <c r="E399" s="10">
        <v>178.97</v>
      </c>
      <c r="F399" s="10">
        <v>186.55</v>
      </c>
      <c r="G399" s="10">
        <v>189.81</v>
      </c>
      <c r="H399" s="10">
        <v>177.47</v>
      </c>
      <c r="I399" s="11">
        <v>440.79</v>
      </c>
      <c r="J399" s="12">
        <v>-3.2099999999999997E-2</v>
      </c>
      <c r="K399" s="10">
        <f>'Datos históricos de Credicorp ('!$F399-'Datos históricos de Credicorp ('!$G399</f>
        <v>-3.2599999999999909</v>
      </c>
    </row>
    <row r="400" spans="4:11" outlineLevel="1" x14ac:dyDescent="0.35">
      <c r="D400" s="9">
        <v>45708</v>
      </c>
      <c r="E400" s="10">
        <v>184.91</v>
      </c>
      <c r="F400" s="10">
        <v>184.53</v>
      </c>
      <c r="G400" s="10">
        <v>186.69</v>
      </c>
      <c r="H400" s="10">
        <v>183.06</v>
      </c>
      <c r="I400" s="11">
        <v>365.94</v>
      </c>
      <c r="J400" s="12">
        <v>4.1000000000000003E-3</v>
      </c>
      <c r="K400" s="10">
        <f>'Datos históricos de Credicorp ('!$F400-'Datos históricos de Credicorp ('!$G400</f>
        <v>-2.1599999999999966</v>
      </c>
    </row>
    <row r="401" spans="4:11" outlineLevel="1" x14ac:dyDescent="0.35">
      <c r="D401" s="9">
        <v>45707</v>
      </c>
      <c r="E401" s="10">
        <v>184.15</v>
      </c>
      <c r="F401" s="10">
        <v>184.05</v>
      </c>
      <c r="G401" s="10">
        <v>184.81</v>
      </c>
      <c r="H401" s="10">
        <v>182.09</v>
      </c>
      <c r="I401" s="11">
        <v>298.72000000000003</v>
      </c>
      <c r="J401" s="12">
        <v>-6.4000000000000003E-3</v>
      </c>
      <c r="K401" s="10">
        <f>'Datos históricos de Credicorp ('!$F401-'Datos históricos de Credicorp ('!$G401</f>
        <v>-0.75999999999999091</v>
      </c>
    </row>
    <row r="402" spans="4:11" outlineLevel="1" x14ac:dyDescent="0.35">
      <c r="D402" s="9">
        <v>45706</v>
      </c>
      <c r="E402" s="10">
        <v>185.34</v>
      </c>
      <c r="F402" s="10">
        <v>184.93</v>
      </c>
      <c r="G402" s="10">
        <v>187.92</v>
      </c>
      <c r="H402" s="10">
        <v>183.37</v>
      </c>
      <c r="I402" s="11">
        <v>269.04000000000002</v>
      </c>
      <c r="J402" s="12">
        <v>-4.1000000000000003E-3</v>
      </c>
      <c r="K402" s="10">
        <f>'Datos históricos de Credicorp ('!$F402-'Datos históricos de Credicorp ('!$G402</f>
        <v>-2.9899999999999807</v>
      </c>
    </row>
    <row r="403" spans="4:11" outlineLevel="1" x14ac:dyDescent="0.35">
      <c r="D403" s="9">
        <v>45702</v>
      </c>
      <c r="E403" s="10">
        <v>186.1</v>
      </c>
      <c r="F403" s="10">
        <v>183.95</v>
      </c>
      <c r="G403" s="10">
        <v>187.72</v>
      </c>
      <c r="H403" s="10">
        <v>181.87</v>
      </c>
      <c r="I403" s="11">
        <v>234.11</v>
      </c>
      <c r="J403" s="12">
        <v>1.2699999999999999E-2</v>
      </c>
      <c r="K403" s="10">
        <f>'Datos históricos de Credicorp ('!$F403-'Datos históricos de Credicorp ('!$G403</f>
        <v>-3.7700000000000102</v>
      </c>
    </row>
    <row r="404" spans="4:11" outlineLevel="1" x14ac:dyDescent="0.35">
      <c r="D404" s="9">
        <v>45701</v>
      </c>
      <c r="E404" s="10">
        <v>183.77</v>
      </c>
      <c r="F404" s="10">
        <v>184.09</v>
      </c>
      <c r="G404" s="10">
        <v>185</v>
      </c>
      <c r="H404" s="10">
        <v>180.82</v>
      </c>
      <c r="I404" s="11">
        <v>295.81</v>
      </c>
      <c r="J404" s="12">
        <v>-5.4000000000000003E-3</v>
      </c>
      <c r="K404" s="10">
        <f>'Datos históricos de Credicorp ('!$F404-'Datos históricos de Credicorp ('!$G404</f>
        <v>-0.90999999999999659</v>
      </c>
    </row>
    <row r="405" spans="4:11" outlineLevel="1" x14ac:dyDescent="0.35">
      <c r="D405" s="9">
        <v>45700</v>
      </c>
      <c r="E405" s="10">
        <v>184.76</v>
      </c>
      <c r="F405" s="10">
        <v>187.11</v>
      </c>
      <c r="G405" s="10">
        <v>188.13</v>
      </c>
      <c r="H405" s="10">
        <v>184.49</v>
      </c>
      <c r="I405" s="11">
        <v>284.95999999999998</v>
      </c>
      <c r="J405" s="12">
        <v>-1.9400000000000001E-2</v>
      </c>
      <c r="K405" s="10">
        <f>'Datos históricos de Credicorp ('!$F405-'Datos históricos de Credicorp ('!$G405</f>
        <v>-1.0199999999999818</v>
      </c>
    </row>
    <row r="406" spans="4:11" outlineLevel="1" x14ac:dyDescent="0.35">
      <c r="D406" s="9">
        <v>45699</v>
      </c>
      <c r="E406" s="10">
        <v>188.42</v>
      </c>
      <c r="F406" s="10">
        <v>192.2</v>
      </c>
      <c r="G406" s="10">
        <v>192.2</v>
      </c>
      <c r="H406" s="10">
        <v>180.87</v>
      </c>
      <c r="I406" s="11">
        <v>421.01</v>
      </c>
      <c r="J406" s="12">
        <v>-1.3599999999999999E-2</v>
      </c>
      <c r="K406" s="10">
        <f>'Datos históricos de Credicorp ('!$F406-'Datos históricos de Credicorp ('!$G406</f>
        <v>0</v>
      </c>
    </row>
    <row r="407" spans="4:11" outlineLevel="1" x14ac:dyDescent="0.35">
      <c r="D407" s="9">
        <v>45698</v>
      </c>
      <c r="E407" s="10">
        <v>191.01</v>
      </c>
      <c r="F407" s="10">
        <v>190.3</v>
      </c>
      <c r="G407" s="10">
        <v>193.3</v>
      </c>
      <c r="H407" s="10">
        <v>188.9</v>
      </c>
      <c r="I407" s="11">
        <v>279.8</v>
      </c>
      <c r="J407" s="12">
        <v>4.1999999999999997E-3</v>
      </c>
      <c r="K407" s="10">
        <f>'Datos históricos de Credicorp ('!$F407-'Datos históricos de Credicorp ('!$G407</f>
        <v>-3</v>
      </c>
    </row>
    <row r="408" spans="4:11" outlineLevel="1" x14ac:dyDescent="0.35">
      <c r="D408" s="9">
        <v>45695</v>
      </c>
      <c r="E408" s="10">
        <v>190.21</v>
      </c>
      <c r="F408" s="10">
        <v>192.96</v>
      </c>
      <c r="G408" s="10">
        <v>194.53</v>
      </c>
      <c r="H408" s="10">
        <v>188.45</v>
      </c>
      <c r="I408" s="11">
        <v>247.25</v>
      </c>
      <c r="J408" s="12">
        <v>-1.3899999999999999E-2</v>
      </c>
      <c r="K408" s="10">
        <f>'Datos históricos de Credicorp ('!$F408-'Datos históricos de Credicorp ('!$G408</f>
        <v>-1.5699999999999932</v>
      </c>
    </row>
    <row r="409" spans="4:11" outlineLevel="1" x14ac:dyDescent="0.35">
      <c r="D409" s="9">
        <v>45694</v>
      </c>
      <c r="E409" s="10">
        <v>192.9</v>
      </c>
      <c r="F409" s="10">
        <v>188</v>
      </c>
      <c r="G409" s="10">
        <v>192.9</v>
      </c>
      <c r="H409" s="10">
        <v>188</v>
      </c>
      <c r="I409" s="11">
        <v>274.55</v>
      </c>
      <c r="J409" s="12">
        <v>2.9100000000000001E-2</v>
      </c>
      <c r="K409" s="10">
        <f>'Datos históricos de Credicorp ('!$F409-'Datos históricos de Credicorp ('!$G409</f>
        <v>-4.9000000000000057</v>
      </c>
    </row>
    <row r="410" spans="4:11" outlineLevel="1" x14ac:dyDescent="0.35">
      <c r="D410" s="9">
        <v>45693</v>
      </c>
      <c r="E410" s="10">
        <v>187.45</v>
      </c>
      <c r="F410" s="10">
        <v>186.85</v>
      </c>
      <c r="G410" s="10">
        <v>188.21</v>
      </c>
      <c r="H410" s="10">
        <v>186.04</v>
      </c>
      <c r="I410" s="11">
        <v>159.13</v>
      </c>
      <c r="J410" s="12">
        <v>7.0000000000000001E-3</v>
      </c>
      <c r="K410" s="10">
        <f>'Datos históricos de Credicorp ('!$F410-'Datos históricos de Credicorp ('!$G410</f>
        <v>-1.3600000000000136</v>
      </c>
    </row>
    <row r="411" spans="4:11" outlineLevel="1" x14ac:dyDescent="0.35">
      <c r="D411" s="9">
        <v>45692</v>
      </c>
      <c r="E411" s="10">
        <v>186.15</v>
      </c>
      <c r="F411" s="10">
        <v>182.96</v>
      </c>
      <c r="G411" s="10">
        <v>187.14</v>
      </c>
      <c r="H411" s="10">
        <v>182.67</v>
      </c>
      <c r="I411" s="11">
        <v>188.13</v>
      </c>
      <c r="J411" s="12">
        <v>1.83E-2</v>
      </c>
      <c r="K411" s="10">
        <f>'Datos históricos de Credicorp ('!$F411-'Datos históricos de Credicorp ('!$G411</f>
        <v>-4.1799999999999784</v>
      </c>
    </row>
    <row r="412" spans="4:11" outlineLevel="1" x14ac:dyDescent="0.35">
      <c r="D412" s="9">
        <v>45691</v>
      </c>
      <c r="E412" s="10">
        <v>182.81</v>
      </c>
      <c r="F412" s="10">
        <v>179.98</v>
      </c>
      <c r="G412" s="10">
        <v>184.18</v>
      </c>
      <c r="H412" s="10">
        <v>179.35</v>
      </c>
      <c r="I412" s="11">
        <v>239.1</v>
      </c>
      <c r="J412" s="12">
        <v>-1.6000000000000001E-3</v>
      </c>
      <c r="K412" s="10">
        <f>'Datos históricos de Credicorp ('!$F412-'Datos históricos de Credicorp ('!$G412</f>
        <v>-4.2000000000000171</v>
      </c>
    </row>
    <row r="413" spans="4:11" outlineLevel="1" x14ac:dyDescent="0.35">
      <c r="D413" s="9">
        <v>45688</v>
      </c>
      <c r="E413" s="10">
        <v>183.1</v>
      </c>
      <c r="F413" s="10">
        <v>185.38</v>
      </c>
      <c r="G413" s="10">
        <v>185.86</v>
      </c>
      <c r="H413" s="10">
        <v>182.31</v>
      </c>
      <c r="I413" s="11">
        <v>384.68</v>
      </c>
      <c r="J413" s="12">
        <v>-1.12E-2</v>
      </c>
      <c r="K413" s="10">
        <f>'Datos históricos de Credicorp ('!$F413-'Datos históricos de Credicorp ('!$G413</f>
        <v>-0.48000000000001819</v>
      </c>
    </row>
    <row r="414" spans="4:11" outlineLevel="1" x14ac:dyDescent="0.35">
      <c r="D414" s="9">
        <v>45687</v>
      </c>
      <c r="E414" s="10">
        <v>185.18</v>
      </c>
      <c r="F414" s="10">
        <v>185.66</v>
      </c>
      <c r="G414" s="10">
        <v>187.7</v>
      </c>
      <c r="H414" s="10">
        <v>183.82</v>
      </c>
      <c r="I414" s="11">
        <v>308.75</v>
      </c>
      <c r="J414" s="12">
        <v>5.4999999999999997E-3</v>
      </c>
      <c r="K414" s="10">
        <f>'Datos históricos de Credicorp ('!$F414-'Datos históricos de Credicorp ('!$G414</f>
        <v>-2.039999999999992</v>
      </c>
    </row>
    <row r="415" spans="4:11" outlineLevel="1" x14ac:dyDescent="0.35">
      <c r="D415" s="9">
        <v>45686</v>
      </c>
      <c r="E415" s="10">
        <v>184.17</v>
      </c>
      <c r="F415" s="10">
        <v>182.16</v>
      </c>
      <c r="G415" s="10">
        <v>184.88</v>
      </c>
      <c r="H415" s="10">
        <v>181.51</v>
      </c>
      <c r="I415" s="11">
        <v>207.59</v>
      </c>
      <c r="J415" s="12">
        <v>1.5100000000000001E-2</v>
      </c>
      <c r="K415" s="10">
        <f>'Datos históricos de Credicorp ('!$F415-'Datos históricos de Credicorp ('!$G415</f>
        <v>-2.7199999999999989</v>
      </c>
    </row>
    <row r="416" spans="4:11" outlineLevel="1" x14ac:dyDescent="0.35">
      <c r="D416" s="9">
        <v>45685</v>
      </c>
      <c r="E416" s="10">
        <v>181.43</v>
      </c>
      <c r="F416" s="10">
        <v>180.9</v>
      </c>
      <c r="G416" s="10">
        <v>184.1</v>
      </c>
      <c r="H416" s="10">
        <v>180.28</v>
      </c>
      <c r="I416" s="11">
        <v>125.99</v>
      </c>
      <c r="J416" s="12">
        <v>6.9999999999999999E-4</v>
      </c>
      <c r="K416" s="10">
        <f>'Datos históricos de Credicorp ('!$F416-'Datos históricos de Credicorp ('!$G416</f>
        <v>-3.1999999999999886</v>
      </c>
    </row>
    <row r="417" spans="4:11" outlineLevel="1" x14ac:dyDescent="0.35">
      <c r="D417" s="9">
        <v>45684</v>
      </c>
      <c r="E417" s="10">
        <v>181.31</v>
      </c>
      <c r="F417" s="10">
        <v>182.05</v>
      </c>
      <c r="G417" s="10">
        <v>182.6</v>
      </c>
      <c r="H417" s="10">
        <v>180.15</v>
      </c>
      <c r="I417" s="11">
        <v>258.89999999999998</v>
      </c>
      <c r="J417" s="12">
        <v>-1.6999999999999999E-3</v>
      </c>
      <c r="K417" s="10">
        <f>'Datos históricos de Credicorp ('!$F417-'Datos históricos de Credicorp ('!$G417</f>
        <v>-0.54999999999998295</v>
      </c>
    </row>
    <row r="418" spans="4:11" outlineLevel="1" x14ac:dyDescent="0.35">
      <c r="D418" s="9">
        <v>45681</v>
      </c>
      <c r="E418" s="10">
        <v>181.61</v>
      </c>
      <c r="F418" s="10">
        <v>183.3</v>
      </c>
      <c r="G418" s="10">
        <v>183.99</v>
      </c>
      <c r="H418" s="10">
        <v>180.67</v>
      </c>
      <c r="I418" s="11">
        <v>296.35000000000002</v>
      </c>
      <c r="J418" s="12">
        <v>-3.5000000000000001E-3</v>
      </c>
      <c r="K418" s="10">
        <f>'Datos históricos de Credicorp ('!$F418-'Datos históricos de Credicorp ('!$G418</f>
        <v>-0.68999999999999773</v>
      </c>
    </row>
    <row r="419" spans="4:11" outlineLevel="1" x14ac:dyDescent="0.35">
      <c r="D419" s="9">
        <v>45680</v>
      </c>
      <c r="E419" s="10">
        <v>182.25</v>
      </c>
      <c r="F419" s="10">
        <v>182.76</v>
      </c>
      <c r="G419" s="10">
        <v>184.49</v>
      </c>
      <c r="H419" s="10">
        <v>181.03</v>
      </c>
      <c r="I419" s="11">
        <v>169.21</v>
      </c>
      <c r="J419" s="12">
        <v>-3.2000000000000002E-3</v>
      </c>
      <c r="K419" s="10">
        <f>'Datos históricos de Credicorp ('!$F419-'Datos históricos de Credicorp ('!$G419</f>
        <v>-1.7300000000000182</v>
      </c>
    </row>
    <row r="420" spans="4:11" outlineLevel="1" x14ac:dyDescent="0.35">
      <c r="D420" s="9">
        <v>45679</v>
      </c>
      <c r="E420" s="10">
        <v>182.83</v>
      </c>
      <c r="F420" s="10">
        <v>182.55</v>
      </c>
      <c r="G420" s="10">
        <v>184.35</v>
      </c>
      <c r="H420" s="10">
        <v>180.93</v>
      </c>
      <c r="I420" s="11">
        <v>247.98</v>
      </c>
      <c r="J420" s="12">
        <v>4.0000000000000002E-4</v>
      </c>
      <c r="K420" s="10">
        <f>'Datos históricos de Credicorp ('!$F420-'Datos históricos de Credicorp ('!$G420</f>
        <v>-1.7999999999999829</v>
      </c>
    </row>
    <row r="421" spans="4:11" outlineLevel="1" x14ac:dyDescent="0.35">
      <c r="D421" s="9">
        <v>45678</v>
      </c>
      <c r="E421" s="10">
        <v>182.75</v>
      </c>
      <c r="F421" s="10">
        <v>183.72</v>
      </c>
      <c r="G421" s="10">
        <v>184.48</v>
      </c>
      <c r="H421" s="10">
        <v>180.87</v>
      </c>
      <c r="I421" s="11">
        <v>376.24</v>
      </c>
      <c r="J421" s="12">
        <v>3.3E-3</v>
      </c>
      <c r="K421" s="10">
        <f>'Datos históricos de Credicorp ('!$F421-'Datos históricos de Credicorp ('!$G421</f>
        <v>-0.75999999999999091</v>
      </c>
    </row>
    <row r="422" spans="4:11" outlineLevel="1" x14ac:dyDescent="0.35">
      <c r="D422" s="9">
        <v>45674</v>
      </c>
      <c r="E422" s="10">
        <v>182.14</v>
      </c>
      <c r="F422" s="10">
        <v>186.85</v>
      </c>
      <c r="G422" s="10">
        <v>187.11</v>
      </c>
      <c r="H422" s="10">
        <v>180.71</v>
      </c>
      <c r="I422" s="11">
        <v>374.18</v>
      </c>
      <c r="J422" s="12">
        <v>-2.47E-2</v>
      </c>
      <c r="K422" s="10">
        <f>'Datos históricos de Credicorp ('!$F422-'Datos históricos de Credicorp ('!$G422</f>
        <v>-0.26000000000001933</v>
      </c>
    </row>
    <row r="423" spans="4:11" outlineLevel="1" x14ac:dyDescent="0.35">
      <c r="D423" s="9">
        <v>45673</v>
      </c>
      <c r="E423" s="10">
        <v>186.75</v>
      </c>
      <c r="F423" s="10">
        <v>190.05</v>
      </c>
      <c r="G423" s="10">
        <v>191.52</v>
      </c>
      <c r="H423" s="10">
        <v>186.75</v>
      </c>
      <c r="I423" s="11">
        <v>131.37</v>
      </c>
      <c r="J423" s="12">
        <v>-1.84E-2</v>
      </c>
      <c r="K423" s="10">
        <f>'Datos históricos de Credicorp ('!$F423-'Datos históricos de Credicorp ('!$G423</f>
        <v>-1.4699999999999989</v>
      </c>
    </row>
    <row r="424" spans="4:11" outlineLevel="1" x14ac:dyDescent="0.35">
      <c r="D424" s="9">
        <v>45672</v>
      </c>
      <c r="E424" s="10">
        <v>190.26</v>
      </c>
      <c r="F424" s="10">
        <v>191.35</v>
      </c>
      <c r="G424" s="10">
        <v>192.61</v>
      </c>
      <c r="H424" s="10">
        <v>189.36</v>
      </c>
      <c r="I424" s="11">
        <v>248.91</v>
      </c>
      <c r="J424" s="12">
        <v>1.29E-2</v>
      </c>
      <c r="K424" s="10">
        <f>'Datos históricos de Credicorp ('!$F424-'Datos históricos de Credicorp ('!$G424</f>
        <v>-1.2600000000000193</v>
      </c>
    </row>
    <row r="425" spans="4:11" outlineLevel="1" x14ac:dyDescent="0.35">
      <c r="D425" s="9">
        <v>45671</v>
      </c>
      <c r="E425" s="10">
        <v>187.83</v>
      </c>
      <c r="F425" s="10">
        <v>181.57</v>
      </c>
      <c r="G425" s="10">
        <v>188.62</v>
      </c>
      <c r="H425" s="10">
        <v>179.32</v>
      </c>
      <c r="I425" s="11">
        <v>436.33</v>
      </c>
      <c r="J425" s="12">
        <v>4.3299999999999998E-2</v>
      </c>
      <c r="K425" s="10">
        <f>'Datos históricos de Credicorp ('!$F425-'Datos históricos de Credicorp ('!$G425</f>
        <v>-7.0500000000000114</v>
      </c>
    </row>
    <row r="426" spans="4:11" outlineLevel="1" x14ac:dyDescent="0.35">
      <c r="D426" s="9">
        <v>45670</v>
      </c>
      <c r="E426" s="10">
        <v>180.04</v>
      </c>
      <c r="F426" s="10">
        <v>180.13</v>
      </c>
      <c r="G426" s="10">
        <v>181.63</v>
      </c>
      <c r="H426" s="10">
        <v>178.81</v>
      </c>
      <c r="I426" s="11">
        <v>434.03</v>
      </c>
      <c r="J426" s="12">
        <v>-4.0000000000000002E-4</v>
      </c>
      <c r="K426" s="10">
        <f>'Datos históricos de Credicorp ('!$F426-'Datos históricos de Credicorp ('!$G426</f>
        <v>-1.5</v>
      </c>
    </row>
    <row r="427" spans="4:11" outlineLevel="1" x14ac:dyDescent="0.35">
      <c r="D427" s="9">
        <v>45667</v>
      </c>
      <c r="E427" s="10">
        <v>180.12</v>
      </c>
      <c r="F427" s="10">
        <v>181.5</v>
      </c>
      <c r="G427" s="10">
        <v>182.97</v>
      </c>
      <c r="H427" s="10">
        <v>177.85</v>
      </c>
      <c r="I427" s="11">
        <v>395.08</v>
      </c>
      <c r="J427" s="12">
        <v>-1.9900000000000001E-2</v>
      </c>
      <c r="K427" s="10">
        <f>'Datos históricos de Credicorp ('!$F427-'Datos históricos de Credicorp ('!$G427</f>
        <v>-1.4699999999999989</v>
      </c>
    </row>
    <row r="428" spans="4:11" outlineLevel="1" x14ac:dyDescent="0.35">
      <c r="D428" s="9">
        <v>45665</v>
      </c>
      <c r="E428" s="10">
        <v>183.78</v>
      </c>
      <c r="F428" s="10">
        <v>183.92</v>
      </c>
      <c r="G428" s="10">
        <v>184.8</v>
      </c>
      <c r="H428" s="10">
        <v>182.76</v>
      </c>
      <c r="I428" s="11">
        <v>168.54</v>
      </c>
      <c r="J428" s="12">
        <v>-7.0000000000000001E-3</v>
      </c>
      <c r="K428" s="10">
        <f>'Datos históricos de Credicorp ('!$F428-'Datos históricos de Credicorp ('!$G428</f>
        <v>-0.88000000000002387</v>
      </c>
    </row>
    <row r="429" spans="4:11" outlineLevel="1" x14ac:dyDescent="0.35">
      <c r="D429" s="9">
        <v>45664</v>
      </c>
      <c r="E429" s="10">
        <v>185.07</v>
      </c>
      <c r="F429" s="10">
        <v>189.22</v>
      </c>
      <c r="G429" s="10">
        <v>189.22</v>
      </c>
      <c r="H429" s="10">
        <v>184.22</v>
      </c>
      <c r="I429" s="11">
        <v>181.58</v>
      </c>
      <c r="J429" s="12">
        <v>-1.47E-2</v>
      </c>
      <c r="K429" s="10">
        <f>'Datos históricos de Credicorp ('!$F429-'Datos históricos de Credicorp ('!$G429</f>
        <v>0</v>
      </c>
    </row>
    <row r="430" spans="4:11" outlineLevel="1" x14ac:dyDescent="0.35">
      <c r="D430" s="9">
        <v>45663</v>
      </c>
      <c r="E430" s="10">
        <v>187.84</v>
      </c>
      <c r="F430" s="10">
        <v>185.21</v>
      </c>
      <c r="G430" s="10">
        <v>189.21</v>
      </c>
      <c r="H430" s="10">
        <v>185.21</v>
      </c>
      <c r="I430" s="11">
        <v>200.28</v>
      </c>
      <c r="J430" s="12">
        <v>1.8800000000000001E-2</v>
      </c>
      <c r="K430" s="10">
        <f>'Datos históricos de Credicorp ('!$F430-'Datos históricos de Credicorp ('!$G430</f>
        <v>-4</v>
      </c>
    </row>
    <row r="431" spans="4:11" outlineLevel="1" x14ac:dyDescent="0.35">
      <c r="D431" s="9">
        <v>45660</v>
      </c>
      <c r="E431" s="10">
        <v>184.38</v>
      </c>
      <c r="F431" s="10">
        <v>184.68</v>
      </c>
      <c r="G431" s="10">
        <v>186.15</v>
      </c>
      <c r="H431" s="10">
        <v>182.01</v>
      </c>
      <c r="I431" s="11">
        <v>187.22</v>
      </c>
      <c r="J431" s="12">
        <v>2.0999999999999999E-3</v>
      </c>
      <c r="K431" s="10">
        <f>'Datos históricos de Credicorp ('!$F431-'Datos históricos de Credicorp ('!$G431</f>
        <v>-1.4699999999999989</v>
      </c>
    </row>
    <row r="432" spans="4:11" outlineLevel="1" x14ac:dyDescent="0.35">
      <c r="D432" s="9">
        <v>45659</v>
      </c>
      <c r="E432" s="10">
        <v>184</v>
      </c>
      <c r="F432" s="10">
        <v>182.84</v>
      </c>
      <c r="G432" s="10">
        <v>185.5</v>
      </c>
      <c r="H432" s="10">
        <v>182.69</v>
      </c>
      <c r="I432" s="11">
        <v>164.91</v>
      </c>
      <c r="J432" s="12">
        <v>3.7000000000000002E-3</v>
      </c>
      <c r="K432" s="10">
        <f>'Datos históricos de Credicorp ('!$F432-'Datos históricos de Credicorp ('!$G432</f>
        <v>-2.6599999999999966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históricos de Credicorp (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Hurtado</dc:creator>
  <cp:lastModifiedBy>Nick Hurtado</cp:lastModifiedBy>
  <dcterms:created xsi:type="dcterms:W3CDTF">2026-09-06T22:08:49Z</dcterms:created>
  <dcterms:modified xsi:type="dcterms:W3CDTF">2026-09-06T22:10:29Z</dcterms:modified>
</cp:coreProperties>
</file>