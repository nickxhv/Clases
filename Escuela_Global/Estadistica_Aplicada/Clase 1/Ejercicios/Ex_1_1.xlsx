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Nuevo\Documents\Clases\Escuela_Global\Estadistica_Aplicada\Clase 1\Ejercicios\"/>
    </mc:Choice>
  </mc:AlternateContent>
  <xr:revisionPtr revIDLastSave="0" documentId="13_ncr:20001_{647AF8F7-7D09-41EB-B37F-2C1A7D445804}" xr6:coauthVersionLast="47" xr6:coauthVersionMax="47" xr10:uidLastSave="{00000000-0000-0000-0000-000000000000}"/>
  <bookViews>
    <workbookView xWindow="-110" yWindow="-110" windowWidth="19420" windowHeight="10300" tabRatio="828" xr2:uid="{00000000-000D-0000-FFFF-FFFF00000000}"/>
  </bookViews>
  <sheets>
    <sheet name="Instrucciones" sheetId="1" r:id="rId1"/>
    <sheet name="Datos_Crudos_Trabajo" sheetId="2" r:id="rId2"/>
    <sheet name="Ej1_Diagnostico" sheetId="3" r:id="rId3"/>
    <sheet name="Ej2_Limpiar_Texto" sheetId="4" r:id="rId4"/>
    <sheet name="Ej3_Convertir_Fechas" sheetId="5" r:id="rId5"/>
    <sheet name="Ej4_Detectar_Faltantes" sheetId="6" r:id="rId6"/>
    <sheet name="Ej5_Valores_Negativos" sheetId="7" r:id="rId7"/>
    <sheet name="Ej6_Variables_Derivadas" sheetId="8" r:id="rId8"/>
    <sheet name="Ej7_Diccionario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6" l="1"/>
  <c r="C8" i="6"/>
  <c r="C9" i="6"/>
  <c r="C10" i="6"/>
  <c r="C11" i="6"/>
  <c r="C12" i="6"/>
  <c r="C13" i="6"/>
  <c r="C6" i="6"/>
  <c r="D7" i="5"/>
  <c r="D9" i="5"/>
  <c r="D10" i="5"/>
  <c r="D11" i="5"/>
  <c r="D12" i="5"/>
  <c r="D13" i="5"/>
  <c r="D6" i="5"/>
  <c r="E6" i="4"/>
  <c r="E7" i="4"/>
  <c r="E8" i="4"/>
  <c r="E9" i="4"/>
  <c r="E10" i="4"/>
  <c r="E11" i="4"/>
  <c r="E12" i="4"/>
  <c r="E13" i="4"/>
  <c r="D7" i="4"/>
  <c r="D8" i="4"/>
  <c r="D9" i="4"/>
  <c r="D10" i="4"/>
  <c r="D11" i="4"/>
  <c r="D12" i="4"/>
  <c r="D13" i="4"/>
  <c r="D6" i="4"/>
  <c r="C7" i="4"/>
  <c r="C8" i="4"/>
  <c r="C9" i="4"/>
  <c r="C10" i="4"/>
  <c r="C11" i="4"/>
  <c r="C12" i="4"/>
  <c r="C13" i="4"/>
  <c r="C6" i="4"/>
  <c r="E7" i="7"/>
  <c r="F13" i="8"/>
  <c r="F12" i="8"/>
  <c r="F11" i="8"/>
  <c r="F10" i="8"/>
  <c r="F9" i="8"/>
  <c r="F8" i="8"/>
  <c r="F7" i="8"/>
  <c r="F6" i="8"/>
  <c r="E13" i="7"/>
  <c r="E12" i="7"/>
  <c r="E11" i="7"/>
  <c r="E10" i="7"/>
  <c r="E9" i="7"/>
  <c r="E8" i="7"/>
  <c r="E6" i="7"/>
</calcChain>
</file>

<file path=xl/sharedStrings.xml><?xml version="1.0" encoding="utf-8"?>
<sst xmlns="http://schemas.openxmlformats.org/spreadsheetml/2006/main" count="134" uniqueCount="87">
  <si>
    <t>SESIÓN 1: TRABAJO PRÁCTICO EN EXCEL</t>
  </si>
  <si>
    <t xml:space="preserve">
CÓMO USAR ESTE ARCHIVO:
1. DATOS CRUDOS:
   - Ve a la hoja "Datos_Crudos_Trabajo"
   - Aquí están los datos con problemas
   - No modifiques esta hoja (es la fuente original)
2. EJERCICIO 1 - DIAGNÓSTICO:
   - Ve a "Ej1_Diagnostico"
   - Identifica problemas manualmente
   - Completa tabla: Problema, Fila, Tipo, Severidad
3. EJERCICIO 2 - LIMPIAR TEXTO:
   - Ve a "Ej2_Limpiar_Texto"
   - Inserta fórmula =MAYUS(TRIM(B2)) en columna C
   - Copia hacia abajo
4. EJERCICIO 3 - CONVERTIR FECHAS:
   - Ve a "Ej3_Convertir_Fechas"
   - Usa Data → Text to Columns
   - Selecciona formato YYYY-MM-DD
5. EJERCICIO 4 - DETECTAR FALTANTES:
   - Ve a "Ej4_Detectar_Faltantes"
   - Inserta =CONTAR.BLANCOS(E2:E9)
   - Identifica cuál fila
6. EJERCICIO 5 - VALORES NEGATIVOS:
   - Ve a "Ej5_Valores_Negativos"
   - Crea columna: =IF(D2&lt;0,"NEGATIVO","OK")
   - Luego: =ABS(D2)
7. EJERCICIO 6 - CREAR VARIABLES:
   - Ve a "Ej6_Variables_Derivadas"
   - Columna F: =E2/F2
   - Copia hacia abajo
8. EJERCICIO 7 - DOCUMENTAR:
   - Ve a "Ej7_Diccionario"
   - Completa descripción de cada variable
TIEMPO ESTIMADO: 90 minutos
¿Listo para empezar?
</t>
  </si>
  <si>
    <t>ID</t>
  </si>
  <si>
    <t>fecha</t>
  </si>
  <si>
    <t>sector</t>
  </si>
  <si>
    <t>ingresos</t>
  </si>
  <si>
    <t>empleados</t>
  </si>
  <si>
    <t>01/01/2024</t>
  </si>
  <si>
    <t>FINANZAS</t>
  </si>
  <si>
    <t>2024-01-02</t>
  </si>
  <si>
    <t>finanzas</t>
  </si>
  <si>
    <t>1 de enero 2024</t>
  </si>
  <si>
    <t>Finanzas</t>
  </si>
  <si>
    <t>01/04/2024</t>
  </si>
  <si>
    <t xml:space="preserve">  finanzas  </t>
  </si>
  <si>
    <t>2024-04-07</t>
  </si>
  <si>
    <t>Retail</t>
  </si>
  <si>
    <t>01/05/2024</t>
  </si>
  <si>
    <t>RETAIL</t>
  </si>
  <si>
    <t>2024-05-10</t>
  </si>
  <si>
    <t xml:space="preserve"> retail </t>
  </si>
  <si>
    <t>01/06/2024</t>
  </si>
  <si>
    <t>Manufactura</t>
  </si>
  <si>
    <t>EJERCICIO 1: DIAGNÓSTICO</t>
  </si>
  <si>
    <t>Instrucción: Observa la hoja 'Datos_Crudos_Trabajo' e identifica problemas</t>
  </si>
  <si>
    <t>Problema</t>
  </si>
  <si>
    <t>Fila</t>
  </si>
  <si>
    <t>Tipo</t>
  </si>
  <si>
    <t>Severidad</t>
  </si>
  <si>
    <t>Descripción</t>
  </si>
  <si>
    <t>EJERCICIO 2: LIMPIAR TEXTO</t>
  </si>
  <si>
    <t>Instrucción: Inserta =MAYUS(TRIM(B2)) en columna C y copia hacia abajo</t>
  </si>
  <si>
    <t>Sector SUCIO</t>
  </si>
  <si>
    <t>Fórmula: =MAYUS(TRIM(B2))</t>
  </si>
  <si>
    <t>EJERCICIO 3: CONVERTIR FECHAS</t>
  </si>
  <si>
    <t>Instrucción: Data → Text to Columns. Selecciona formato YYYY-MM-DD</t>
  </si>
  <si>
    <t>Fecha ORIGINAL</t>
  </si>
  <si>
    <t>Formato</t>
  </si>
  <si>
    <t>Fecha LIMPIA</t>
  </si>
  <si>
    <t>DD/MM/YYYY</t>
  </si>
  <si>
    <t>YYYY-MM-DD</t>
  </si>
  <si>
    <t>Texto</t>
  </si>
  <si>
    <t>EJERCICIO 4: DETECTAR VALORES FALTANTES</t>
  </si>
  <si>
    <t>Instrucción: Usa =CONTAR.BLANCOS(E2:E9) y ISBLANK para identificar</t>
  </si>
  <si>
    <t>Empleados</t>
  </si>
  <si>
    <t>¿Está vacío?</t>
  </si>
  <si>
    <t>Acción</t>
  </si>
  <si>
    <t>EJERCICIO 5: MANEJAR VALORES NEGATIVOS</t>
  </si>
  <si>
    <t>Ingresos</t>
  </si>
  <si>
    <t>¿Negativo?</t>
  </si>
  <si>
    <t>Ingresos Corregido</t>
  </si>
  <si>
    <t>REVISAR</t>
  </si>
  <si>
    <t>EJERCICIO 6: CREAR VARIABLES DERIVADAS</t>
  </si>
  <si>
    <t>Instrucción: Columna F = Ingresos / Empleados (=E2/F2)</t>
  </si>
  <si>
    <t>Sector</t>
  </si>
  <si>
    <t>(espacio)</t>
  </si>
  <si>
    <t>Ingreso per Cápita</t>
  </si>
  <si>
    <t>MANUFACTURA</t>
  </si>
  <si>
    <t>EJERCICIO 7: DICCIONARIO DE DATOS</t>
  </si>
  <si>
    <t>Instrucción: Completa descripción para cada variable</t>
  </si>
  <si>
    <t>Variable</t>
  </si>
  <si>
    <t>Tipo Dato</t>
  </si>
  <si>
    <t>Unidad</t>
  </si>
  <si>
    <t>Mín</t>
  </si>
  <si>
    <t>Máx</t>
  </si>
  <si>
    <t>ingreso_per_capita</t>
  </si>
  <si>
    <t>Instrucción: SI para detectar negativos, ABS para convertir a positivos</t>
  </si>
  <si>
    <t>Fechas en Múltiples Formatos</t>
  </si>
  <si>
    <t>Espacios en texto</t>
  </si>
  <si>
    <t>Mayúsculas inconsistentes</t>
  </si>
  <si>
    <t>Ingresos negativos</t>
  </si>
  <si>
    <t>Valores faltantes</t>
  </si>
  <si>
    <t>2,3,4</t>
  </si>
  <si>
    <t>4,7</t>
  </si>
  <si>
    <t>2,3,4,7</t>
  </si>
  <si>
    <t>Valor</t>
  </si>
  <si>
    <t>Consistencia</t>
  </si>
  <si>
    <t>Baja</t>
  </si>
  <si>
    <t>Media</t>
  </si>
  <si>
    <t>Alta</t>
  </si>
  <si>
    <t>Uniformidad en el formato de fechas de los libros</t>
  </si>
  <si>
    <t>Dificultad de uniformidad</t>
  </si>
  <si>
    <t>Valores no admisibles según la naturaleza del dato</t>
  </si>
  <si>
    <t>Falta de datos necesarios y no estandarizado</t>
  </si>
  <si>
    <t>Dificultad de estandarización</t>
  </si>
  <si>
    <t>Caracteres Antes</t>
  </si>
  <si>
    <t>Caracteres Después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</si>
</sst>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;@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i/>
      <sz val="11"/>
      <color rgb="FF0066CC"/>
      <name val="Calibri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CCC"/>
        <bgColor rgb="FFFFCCCC"/>
      </patternFill>
    </fill>
    <fill>
      <patternFill patternType="solid">
        <fgColor rgb="FFE7E6E6"/>
        <bgColor rgb="FFE7E6E6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4" fillId="4" borderId="1" xfId="0" applyFont="1" applyFill="1" applyBorder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1" fillId="2" borderId="0" xfId="0" applyFont="1" applyFill="1"/>
    <xf numFmtId="0" fontId="0" fillId="0" borderId="0" xfId="0"/>
    <xf numFmtId="0" fontId="2" fillId="2" borderId="0" xfId="0" applyFont="1" applyFill="1"/>
    <xf numFmtId="0" fontId="4" fillId="4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170" fontId="6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80" customWidth="1"/>
  </cols>
  <sheetData>
    <row r="1" spans="1:4" ht="18.5" x14ac:dyDescent="0.45">
      <c r="A1" s="10" t="s">
        <v>0</v>
      </c>
      <c r="B1" s="11"/>
      <c r="C1" s="11"/>
      <c r="D1" s="11"/>
    </row>
    <row r="3" spans="1:4" ht="400" customHeight="1" x14ac:dyDescent="0.35">
      <c r="A3" s="1" t="s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A21" sqref="A21"/>
    </sheetView>
  </sheetViews>
  <sheetFormatPr baseColWidth="10" defaultColWidth="8.7265625" defaultRowHeight="14.5" x14ac:dyDescent="0.35"/>
  <cols>
    <col min="1" max="5" width="18" customWidth="1"/>
  </cols>
  <sheetData>
    <row r="1" spans="1:5" ht="15.5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35">
      <c r="A2" s="3">
        <v>1</v>
      </c>
      <c r="B2" s="3" t="s">
        <v>7</v>
      </c>
      <c r="C2" s="3" t="s">
        <v>8</v>
      </c>
      <c r="D2" s="3">
        <v>50000</v>
      </c>
      <c r="E2" s="3">
        <v>100</v>
      </c>
    </row>
    <row r="3" spans="1:5" x14ac:dyDescent="0.35">
      <c r="A3" s="3">
        <v>2</v>
      </c>
      <c r="B3" s="3" t="s">
        <v>9</v>
      </c>
      <c r="C3" s="3" t="s">
        <v>10</v>
      </c>
      <c r="D3" s="3">
        <v>-30000</v>
      </c>
      <c r="E3" s="3">
        <v>150</v>
      </c>
    </row>
    <row r="4" spans="1:5" x14ac:dyDescent="0.35">
      <c r="A4" s="3">
        <v>3</v>
      </c>
      <c r="B4" s="3" t="s">
        <v>11</v>
      </c>
      <c r="C4" s="3" t="s">
        <v>12</v>
      </c>
      <c r="D4" s="3">
        <v>75000</v>
      </c>
      <c r="E4" s="4"/>
    </row>
    <row r="5" spans="1:5" x14ac:dyDescent="0.35">
      <c r="A5" s="3">
        <v>4</v>
      </c>
      <c r="B5" s="3" t="s">
        <v>13</v>
      </c>
      <c r="C5" s="3" t="s">
        <v>14</v>
      </c>
      <c r="D5" s="3">
        <v>80000</v>
      </c>
      <c r="E5" s="3">
        <v>120</v>
      </c>
    </row>
    <row r="6" spans="1:5" x14ac:dyDescent="0.35">
      <c r="A6" s="3">
        <v>5</v>
      </c>
      <c r="B6" s="3" t="s">
        <v>15</v>
      </c>
      <c r="C6" s="3" t="s">
        <v>16</v>
      </c>
      <c r="D6" s="3">
        <v>60000</v>
      </c>
      <c r="E6" s="3">
        <v>90</v>
      </c>
    </row>
    <row r="7" spans="1:5" x14ac:dyDescent="0.35">
      <c r="A7" s="3">
        <v>6</v>
      </c>
      <c r="B7" s="3" t="s">
        <v>17</v>
      </c>
      <c r="C7" s="3" t="s">
        <v>18</v>
      </c>
      <c r="D7" s="3">
        <v>55000</v>
      </c>
      <c r="E7" s="3">
        <v>110</v>
      </c>
    </row>
    <row r="8" spans="1:5" x14ac:dyDescent="0.35">
      <c r="A8" s="3">
        <v>7</v>
      </c>
      <c r="B8" s="3" t="s">
        <v>19</v>
      </c>
      <c r="C8" s="3" t="s">
        <v>20</v>
      </c>
      <c r="D8" s="3">
        <v>65000</v>
      </c>
      <c r="E8" s="3">
        <v>130</v>
      </c>
    </row>
    <row r="9" spans="1:5" x14ac:dyDescent="0.35">
      <c r="A9" s="3">
        <v>8</v>
      </c>
      <c r="B9" s="3" t="s">
        <v>21</v>
      </c>
      <c r="C9" s="3" t="s">
        <v>22</v>
      </c>
      <c r="D9" s="3">
        <v>70000</v>
      </c>
      <c r="E9" s="3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opLeftCell="A2" workbookViewId="0">
      <selection activeCell="C8" sqref="C8"/>
    </sheetView>
  </sheetViews>
  <sheetFormatPr baseColWidth="10" defaultColWidth="8.7265625" defaultRowHeight="14.5" x14ac:dyDescent="0.35"/>
  <cols>
    <col min="1" max="1" width="25" customWidth="1"/>
    <col min="2" max="2" width="10" customWidth="1"/>
    <col min="3" max="4" width="15" customWidth="1"/>
    <col min="5" max="5" width="30" customWidth="1"/>
  </cols>
  <sheetData>
    <row r="1" spans="1:5" ht="15.5" x14ac:dyDescent="0.35">
      <c r="A1" s="12" t="s">
        <v>23</v>
      </c>
      <c r="B1" s="11"/>
      <c r="C1" s="11"/>
      <c r="D1" s="11"/>
      <c r="E1" s="11"/>
    </row>
    <row r="3" spans="1:5" x14ac:dyDescent="0.35">
      <c r="A3" s="5" t="s">
        <v>24</v>
      </c>
    </row>
    <row r="5" spans="1:5" x14ac:dyDescent="0.35">
      <c r="A5" s="13" t="s">
        <v>25</v>
      </c>
      <c r="B5" s="13" t="s">
        <v>26</v>
      </c>
      <c r="C5" s="13" t="s">
        <v>27</v>
      </c>
      <c r="D5" s="13" t="s">
        <v>28</v>
      </c>
      <c r="E5" s="13" t="s">
        <v>29</v>
      </c>
    </row>
    <row r="6" spans="1:5" ht="29" x14ac:dyDescent="0.35">
      <c r="A6" s="14" t="s">
        <v>67</v>
      </c>
      <c r="B6" s="14" t="s">
        <v>72</v>
      </c>
      <c r="C6" s="14" t="s">
        <v>37</v>
      </c>
      <c r="D6" s="14" t="s">
        <v>77</v>
      </c>
      <c r="E6" s="14" t="s">
        <v>80</v>
      </c>
    </row>
    <row r="7" spans="1:5" x14ac:dyDescent="0.35">
      <c r="A7" s="15" t="s">
        <v>68</v>
      </c>
      <c r="B7" s="14" t="s">
        <v>73</v>
      </c>
      <c r="C7" s="14" t="s">
        <v>75</v>
      </c>
      <c r="D7" s="14" t="s">
        <v>78</v>
      </c>
      <c r="E7" s="14" t="s">
        <v>81</v>
      </c>
    </row>
    <row r="8" spans="1:5" x14ac:dyDescent="0.35">
      <c r="A8" s="15" t="s">
        <v>69</v>
      </c>
      <c r="B8" s="14" t="s">
        <v>74</v>
      </c>
      <c r="C8" s="14" t="s">
        <v>75</v>
      </c>
      <c r="D8" s="14" t="s">
        <v>79</v>
      </c>
      <c r="E8" s="14" t="s">
        <v>84</v>
      </c>
    </row>
    <row r="9" spans="1:5" ht="29" x14ac:dyDescent="0.35">
      <c r="A9" s="15" t="s">
        <v>70</v>
      </c>
      <c r="B9" s="14">
        <v>2</v>
      </c>
      <c r="C9" s="14" t="s">
        <v>76</v>
      </c>
      <c r="D9" s="14" t="s">
        <v>79</v>
      </c>
      <c r="E9" s="14" t="s">
        <v>82</v>
      </c>
    </row>
    <row r="10" spans="1:5" ht="29" x14ac:dyDescent="0.35">
      <c r="A10" s="15" t="s">
        <v>71</v>
      </c>
      <c r="B10" s="14">
        <v>3</v>
      </c>
      <c r="C10" s="14" t="s">
        <v>75</v>
      </c>
      <c r="D10" s="14" t="s">
        <v>78</v>
      </c>
      <c r="E10" s="14" t="s">
        <v>83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B12" sqref="B12"/>
    </sheetView>
  </sheetViews>
  <sheetFormatPr baseColWidth="10" defaultColWidth="8.7265625" defaultRowHeight="14.5" x14ac:dyDescent="0.35"/>
  <cols>
    <col min="1" max="1" width="8" customWidth="1"/>
    <col min="2" max="2" width="20" customWidth="1"/>
    <col min="3" max="3" width="25" customWidth="1"/>
    <col min="4" max="4" width="20" customWidth="1"/>
    <col min="5" max="5" width="17.36328125" bestFit="1" customWidth="1"/>
  </cols>
  <sheetData>
    <row r="1" spans="1:5" ht="15.5" x14ac:dyDescent="0.35">
      <c r="A1" s="12" t="s">
        <v>30</v>
      </c>
      <c r="B1" s="11"/>
      <c r="C1" s="11"/>
      <c r="D1" s="11"/>
    </row>
    <row r="3" spans="1:5" x14ac:dyDescent="0.35">
      <c r="A3" s="5" t="s">
        <v>31</v>
      </c>
    </row>
    <row r="5" spans="1:5" x14ac:dyDescent="0.35">
      <c r="A5" s="6" t="s">
        <v>2</v>
      </c>
      <c r="B5" s="6" t="s">
        <v>32</v>
      </c>
      <c r="C5" s="6" t="s">
        <v>33</v>
      </c>
      <c r="D5" s="6" t="s">
        <v>85</v>
      </c>
      <c r="E5" s="6" t="s">
        <v>86</v>
      </c>
    </row>
    <row r="6" spans="1:5" x14ac:dyDescent="0.35">
      <c r="A6" s="3">
        <v>1</v>
      </c>
      <c r="B6" s="3" t="s">
        <v>8</v>
      </c>
      <c r="C6" s="3" t="str">
        <f>UPPER(TRIM(B6))</f>
        <v>FINANZAS</v>
      </c>
      <c r="D6" s="3">
        <f>LEN(B6)</f>
        <v>8</v>
      </c>
      <c r="E6" s="3">
        <f>LEN(C6)</f>
        <v>8</v>
      </c>
    </row>
    <row r="7" spans="1:5" x14ac:dyDescent="0.35">
      <c r="A7" s="3">
        <v>2</v>
      </c>
      <c r="B7" s="3" t="s">
        <v>10</v>
      </c>
      <c r="C7" s="3" t="str">
        <f t="shared" ref="C7:D13" si="0">UPPER(TRIM(B7))</f>
        <v>FINANZAS</v>
      </c>
      <c r="D7" s="3">
        <f t="shared" ref="D7:E13" si="1">LEN(B7)</f>
        <v>8</v>
      </c>
      <c r="E7" s="3">
        <f t="shared" si="1"/>
        <v>8</v>
      </c>
    </row>
    <row r="8" spans="1:5" x14ac:dyDescent="0.35">
      <c r="A8" s="3">
        <v>3</v>
      </c>
      <c r="B8" s="3" t="s">
        <v>12</v>
      </c>
      <c r="C8" s="3" t="str">
        <f t="shared" si="0"/>
        <v>FINANZAS</v>
      </c>
      <c r="D8" s="3">
        <f t="shared" si="1"/>
        <v>8</v>
      </c>
      <c r="E8" s="3">
        <f t="shared" si="1"/>
        <v>8</v>
      </c>
    </row>
    <row r="9" spans="1:5" x14ac:dyDescent="0.35">
      <c r="A9" s="16">
        <v>4</v>
      </c>
      <c r="B9" s="16" t="s">
        <v>14</v>
      </c>
      <c r="C9" s="16" t="str">
        <f t="shared" si="0"/>
        <v>FINANZAS</v>
      </c>
      <c r="D9" s="16">
        <f t="shared" si="1"/>
        <v>12</v>
      </c>
      <c r="E9" s="16">
        <f t="shared" si="1"/>
        <v>8</v>
      </c>
    </row>
    <row r="10" spans="1:5" x14ac:dyDescent="0.35">
      <c r="A10" s="3">
        <v>5</v>
      </c>
      <c r="B10" s="3" t="s">
        <v>16</v>
      </c>
      <c r="C10" s="3" t="str">
        <f t="shared" si="0"/>
        <v>RETAIL</v>
      </c>
      <c r="D10" s="3">
        <f t="shared" si="1"/>
        <v>6</v>
      </c>
      <c r="E10" s="3">
        <f t="shared" si="1"/>
        <v>6</v>
      </c>
    </row>
    <row r="11" spans="1:5" x14ac:dyDescent="0.35">
      <c r="A11" s="3">
        <v>6</v>
      </c>
      <c r="B11" s="3" t="s">
        <v>18</v>
      </c>
      <c r="C11" s="3" t="str">
        <f t="shared" si="0"/>
        <v>RETAIL</v>
      </c>
      <c r="D11" s="3">
        <f t="shared" si="1"/>
        <v>6</v>
      </c>
      <c r="E11" s="3">
        <f t="shared" si="1"/>
        <v>6</v>
      </c>
    </row>
    <row r="12" spans="1:5" x14ac:dyDescent="0.35">
      <c r="A12" s="16">
        <v>7</v>
      </c>
      <c r="B12" s="16" t="s">
        <v>20</v>
      </c>
      <c r="C12" s="16" t="str">
        <f t="shared" si="0"/>
        <v>RETAIL</v>
      </c>
      <c r="D12" s="16">
        <f t="shared" si="1"/>
        <v>8</v>
      </c>
      <c r="E12" s="16">
        <f t="shared" si="1"/>
        <v>6</v>
      </c>
    </row>
    <row r="13" spans="1:5" x14ac:dyDescent="0.35">
      <c r="A13" s="3">
        <v>8</v>
      </c>
      <c r="B13" s="3" t="s">
        <v>22</v>
      </c>
      <c r="C13" s="3" t="str">
        <f t="shared" si="0"/>
        <v>MANUFACTURA</v>
      </c>
      <c r="D13" s="3">
        <f t="shared" si="1"/>
        <v>11</v>
      </c>
      <c r="E13" s="3">
        <f t="shared" si="1"/>
        <v>11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C8" sqref="C8"/>
    </sheetView>
  </sheetViews>
  <sheetFormatPr baseColWidth="10" defaultColWidth="8.7265625" defaultRowHeight="14.5" x14ac:dyDescent="0.35"/>
  <cols>
    <col min="1" max="1" width="8" customWidth="1"/>
    <col min="2" max="2" width="20" customWidth="1"/>
    <col min="3" max="3" width="15" customWidth="1"/>
    <col min="4" max="4" width="20" customWidth="1"/>
    <col min="6" max="6" width="11.1796875" bestFit="1" customWidth="1"/>
  </cols>
  <sheetData>
    <row r="1" spans="1:4" ht="15.5" x14ac:dyDescent="0.35">
      <c r="A1" s="12" t="s">
        <v>34</v>
      </c>
      <c r="B1" s="11"/>
      <c r="C1" s="11"/>
      <c r="D1" s="11"/>
    </row>
    <row r="3" spans="1:4" x14ac:dyDescent="0.35">
      <c r="A3" s="5" t="s">
        <v>35</v>
      </c>
    </row>
    <row r="5" spans="1:4" x14ac:dyDescent="0.35">
      <c r="A5" s="6" t="s">
        <v>2</v>
      </c>
      <c r="B5" s="6" t="s">
        <v>36</v>
      </c>
      <c r="C5" s="6" t="s">
        <v>37</v>
      </c>
      <c r="D5" s="6" t="s">
        <v>38</v>
      </c>
    </row>
    <row r="6" spans="1:4" x14ac:dyDescent="0.35">
      <c r="A6" s="3">
        <v>1</v>
      </c>
      <c r="B6" s="3" t="s">
        <v>7</v>
      </c>
      <c r="C6" s="3" t="s">
        <v>39</v>
      </c>
      <c r="D6" s="17">
        <f>_xlfn.NUMBERVALUE(B6)</f>
        <v>45292</v>
      </c>
    </row>
    <row r="7" spans="1:4" x14ac:dyDescent="0.35">
      <c r="A7" s="3">
        <v>2</v>
      </c>
      <c r="B7" s="3" t="s">
        <v>9</v>
      </c>
      <c r="C7" s="3" t="s">
        <v>40</v>
      </c>
      <c r="D7" s="17">
        <f t="shared" ref="D7:D13" si="0">_xlfn.NUMBERVALUE(B7)</f>
        <v>45293</v>
      </c>
    </row>
    <row r="8" spans="1:4" x14ac:dyDescent="0.35">
      <c r="A8" s="16">
        <v>3</v>
      </c>
      <c r="B8" s="16" t="s">
        <v>11</v>
      </c>
      <c r="C8" s="16" t="s">
        <v>41</v>
      </c>
      <c r="D8" s="18">
        <v>45292</v>
      </c>
    </row>
    <row r="9" spans="1:4" x14ac:dyDescent="0.35">
      <c r="A9" s="3">
        <v>4</v>
      </c>
      <c r="B9" s="3" t="s">
        <v>13</v>
      </c>
      <c r="C9" s="3" t="s">
        <v>39</v>
      </c>
      <c r="D9" s="17">
        <f t="shared" si="0"/>
        <v>45383</v>
      </c>
    </row>
    <row r="10" spans="1:4" x14ac:dyDescent="0.35">
      <c r="A10" s="3">
        <v>5</v>
      </c>
      <c r="B10" s="3" t="s">
        <v>15</v>
      </c>
      <c r="C10" s="3" t="s">
        <v>40</v>
      </c>
      <c r="D10" s="17">
        <f t="shared" si="0"/>
        <v>45389</v>
      </c>
    </row>
    <row r="11" spans="1:4" x14ac:dyDescent="0.35">
      <c r="A11" s="3">
        <v>6</v>
      </c>
      <c r="B11" s="3" t="s">
        <v>17</v>
      </c>
      <c r="C11" s="3" t="s">
        <v>39</v>
      </c>
      <c r="D11" s="17">
        <f t="shared" si="0"/>
        <v>45413</v>
      </c>
    </row>
    <row r="12" spans="1:4" x14ac:dyDescent="0.35">
      <c r="A12" s="3">
        <v>7</v>
      </c>
      <c r="B12" s="3" t="s">
        <v>19</v>
      </c>
      <c r="C12" s="3" t="s">
        <v>40</v>
      </c>
      <c r="D12" s="17">
        <f t="shared" si="0"/>
        <v>45422</v>
      </c>
    </row>
    <row r="13" spans="1:4" x14ac:dyDescent="0.35">
      <c r="A13" s="3">
        <v>8</v>
      </c>
      <c r="B13" s="3" t="s">
        <v>21</v>
      </c>
      <c r="C13" s="3" t="s">
        <v>39</v>
      </c>
      <c r="D13" s="17">
        <f t="shared" si="0"/>
        <v>45444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C6" sqref="C6:C13"/>
    </sheetView>
  </sheetViews>
  <sheetFormatPr baseColWidth="10" defaultColWidth="8.7265625" defaultRowHeight="14.5" x14ac:dyDescent="0.35"/>
  <cols>
    <col min="1" max="1" width="8" customWidth="1"/>
    <col min="2" max="2" width="15" customWidth="1"/>
    <col min="3" max="4" width="25" customWidth="1"/>
  </cols>
  <sheetData>
    <row r="1" spans="1:4" ht="15.5" x14ac:dyDescent="0.35">
      <c r="A1" s="12" t="s">
        <v>42</v>
      </c>
      <c r="B1" s="11"/>
      <c r="C1" s="11"/>
      <c r="D1" s="11"/>
    </row>
    <row r="3" spans="1:4" x14ac:dyDescent="0.35">
      <c r="A3" s="5" t="s">
        <v>43</v>
      </c>
    </row>
    <row r="5" spans="1:4" x14ac:dyDescent="0.35">
      <c r="A5" s="6" t="s">
        <v>2</v>
      </c>
      <c r="B5" s="6" t="s">
        <v>44</v>
      </c>
      <c r="C5" s="6" t="s">
        <v>45</v>
      </c>
      <c r="D5" s="6" t="s">
        <v>46</v>
      </c>
    </row>
    <row r="6" spans="1:4" x14ac:dyDescent="0.35">
      <c r="A6" s="3">
        <v>1</v>
      </c>
      <c r="B6" s="3">
        <v>100</v>
      </c>
      <c r="C6" s="8" t="b">
        <f>ISBLANK(B6)</f>
        <v>0</v>
      </c>
      <c r="D6" s="3"/>
    </row>
    <row r="7" spans="1:4" x14ac:dyDescent="0.35">
      <c r="A7" s="3">
        <v>2</v>
      </c>
      <c r="B7" s="3">
        <v>150</v>
      </c>
      <c r="C7" s="8" t="b">
        <f t="shared" ref="C7:C13" si="0">ISBLANK(B7)</f>
        <v>0</v>
      </c>
      <c r="D7" s="3"/>
    </row>
    <row r="8" spans="1:4" x14ac:dyDescent="0.35">
      <c r="A8" s="3">
        <v>3</v>
      </c>
      <c r="B8" s="4"/>
      <c r="C8" s="8" t="b">
        <f t="shared" si="0"/>
        <v>1</v>
      </c>
      <c r="D8" s="3"/>
    </row>
    <row r="9" spans="1:4" x14ac:dyDescent="0.35">
      <c r="A9" s="3">
        <v>4</v>
      </c>
      <c r="B9" s="3">
        <v>120</v>
      </c>
      <c r="C9" s="8" t="b">
        <f t="shared" si="0"/>
        <v>0</v>
      </c>
      <c r="D9" s="3"/>
    </row>
    <row r="10" spans="1:4" x14ac:dyDescent="0.35">
      <c r="A10" s="3">
        <v>5</v>
      </c>
      <c r="B10" s="3">
        <v>90</v>
      </c>
      <c r="C10" s="8" t="b">
        <f t="shared" si="0"/>
        <v>0</v>
      </c>
      <c r="D10" s="3"/>
    </row>
    <row r="11" spans="1:4" x14ac:dyDescent="0.35">
      <c r="A11" s="3">
        <v>6</v>
      </c>
      <c r="B11" s="3">
        <v>110</v>
      </c>
      <c r="C11" s="8" t="b">
        <f t="shared" si="0"/>
        <v>0</v>
      </c>
      <c r="D11" s="3"/>
    </row>
    <row r="12" spans="1:4" x14ac:dyDescent="0.35">
      <c r="A12" s="3">
        <v>7</v>
      </c>
      <c r="B12" s="3">
        <v>130</v>
      </c>
      <c r="C12" s="8" t="b">
        <f t="shared" si="0"/>
        <v>0</v>
      </c>
      <c r="D12" s="3"/>
    </row>
    <row r="13" spans="1:4" x14ac:dyDescent="0.35">
      <c r="A13" s="3">
        <v>8</v>
      </c>
      <c r="B13" s="3">
        <v>150</v>
      </c>
      <c r="C13" s="8" t="b">
        <f t="shared" si="0"/>
        <v>0</v>
      </c>
      <c r="D13" s="3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A3" sqref="A3"/>
    </sheetView>
  </sheetViews>
  <sheetFormatPr baseColWidth="10" defaultColWidth="8.7265625" defaultRowHeight="14.5" x14ac:dyDescent="0.35"/>
  <cols>
    <col min="1" max="1" width="8" customWidth="1"/>
    <col min="2" max="4" width="15" customWidth="1"/>
    <col min="5" max="5" width="20" customWidth="1"/>
  </cols>
  <sheetData>
    <row r="1" spans="1:5" ht="15.5" x14ac:dyDescent="0.35">
      <c r="A1" s="12" t="s">
        <v>47</v>
      </c>
      <c r="B1" s="11"/>
      <c r="C1" s="11"/>
      <c r="D1" s="11"/>
      <c r="E1" s="11"/>
    </row>
    <row r="3" spans="1:5" x14ac:dyDescent="0.35">
      <c r="A3" s="5" t="s">
        <v>66</v>
      </c>
    </row>
    <row r="5" spans="1:5" x14ac:dyDescent="0.35">
      <c r="A5" s="6" t="s">
        <v>2</v>
      </c>
      <c r="B5" s="6" t="s">
        <v>48</v>
      </c>
      <c r="C5" s="6" t="s">
        <v>49</v>
      </c>
      <c r="D5" s="6" t="s">
        <v>46</v>
      </c>
      <c r="E5" s="6" t="s">
        <v>50</v>
      </c>
    </row>
    <row r="6" spans="1:5" x14ac:dyDescent="0.35">
      <c r="A6" s="3">
        <v>1</v>
      </c>
      <c r="B6" s="3">
        <v>50000</v>
      </c>
      <c r="C6" s="8"/>
      <c r="D6" s="3"/>
      <c r="E6" s="8">
        <f t="shared" ref="E6:E13" si="0">ABS(B6)</f>
        <v>50000</v>
      </c>
    </row>
    <row r="7" spans="1:5" x14ac:dyDescent="0.35">
      <c r="A7" s="3">
        <v>2</v>
      </c>
      <c r="B7" s="4">
        <v>-30000</v>
      </c>
      <c r="C7" s="8"/>
      <c r="D7" s="3" t="s">
        <v>51</v>
      </c>
      <c r="E7" s="8">
        <f>ABS(B7)</f>
        <v>30000</v>
      </c>
    </row>
    <row r="8" spans="1:5" x14ac:dyDescent="0.35">
      <c r="A8" s="3">
        <v>3</v>
      </c>
      <c r="B8" s="3">
        <v>75000</v>
      </c>
      <c r="C8" s="8"/>
      <c r="D8" s="3"/>
      <c r="E8" s="8">
        <f t="shared" si="0"/>
        <v>75000</v>
      </c>
    </row>
    <row r="9" spans="1:5" x14ac:dyDescent="0.35">
      <c r="A9" s="3">
        <v>4</v>
      </c>
      <c r="B9" s="3">
        <v>80000</v>
      </c>
      <c r="C9" s="8"/>
      <c r="D9" s="3"/>
      <c r="E9" s="8">
        <f t="shared" si="0"/>
        <v>80000</v>
      </c>
    </row>
    <row r="10" spans="1:5" x14ac:dyDescent="0.35">
      <c r="A10" s="3">
        <v>5</v>
      </c>
      <c r="B10" s="3">
        <v>60000</v>
      </c>
      <c r="C10" s="8"/>
      <c r="D10" s="3"/>
      <c r="E10" s="8">
        <f t="shared" si="0"/>
        <v>60000</v>
      </c>
    </row>
    <row r="11" spans="1:5" x14ac:dyDescent="0.35">
      <c r="A11" s="3">
        <v>6</v>
      </c>
      <c r="B11" s="3">
        <v>55000</v>
      </c>
      <c r="C11" s="8"/>
      <c r="D11" s="3"/>
      <c r="E11" s="8">
        <f t="shared" si="0"/>
        <v>55000</v>
      </c>
    </row>
    <row r="12" spans="1:5" x14ac:dyDescent="0.35">
      <c r="A12" s="3">
        <v>7</v>
      </c>
      <c r="B12" s="3">
        <v>65000</v>
      </c>
      <c r="C12" s="8"/>
      <c r="D12" s="3"/>
      <c r="E12" s="8">
        <f t="shared" si="0"/>
        <v>65000</v>
      </c>
    </row>
    <row r="13" spans="1:5" x14ac:dyDescent="0.35">
      <c r="A13" s="3">
        <v>8</v>
      </c>
      <c r="B13" s="3">
        <v>70000</v>
      </c>
      <c r="C13" s="8"/>
      <c r="D13" s="3"/>
      <c r="E13" s="8">
        <f t="shared" si="0"/>
        <v>70000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selection activeCell="F6" sqref="A6:F13"/>
    </sheetView>
  </sheetViews>
  <sheetFormatPr baseColWidth="10" defaultColWidth="8.7265625" defaultRowHeight="14.5" x14ac:dyDescent="0.35"/>
  <cols>
    <col min="1" max="1" width="8" customWidth="1"/>
    <col min="2" max="4" width="15" customWidth="1"/>
    <col min="5" max="5" width="8.36328125" bestFit="1" customWidth="1"/>
    <col min="6" max="6" width="20" customWidth="1"/>
  </cols>
  <sheetData>
    <row r="1" spans="1:6" ht="15.5" x14ac:dyDescent="0.35">
      <c r="A1" s="12" t="s">
        <v>52</v>
      </c>
      <c r="B1" s="11"/>
      <c r="C1" s="11"/>
      <c r="D1" s="11"/>
      <c r="E1" s="11"/>
      <c r="F1" s="11"/>
    </row>
    <row r="3" spans="1:6" x14ac:dyDescent="0.35">
      <c r="A3" s="5" t="s">
        <v>53</v>
      </c>
    </row>
    <row r="5" spans="1:6" x14ac:dyDescent="0.35">
      <c r="A5" s="6" t="s">
        <v>2</v>
      </c>
      <c r="B5" s="6" t="s">
        <v>54</v>
      </c>
      <c r="C5" s="6" t="s">
        <v>48</v>
      </c>
      <c r="D5" s="6" t="s">
        <v>44</v>
      </c>
      <c r="E5" s="6" t="s">
        <v>55</v>
      </c>
      <c r="F5" s="6" t="s">
        <v>56</v>
      </c>
    </row>
    <row r="6" spans="1:6" x14ac:dyDescent="0.35">
      <c r="A6" s="3">
        <v>1</v>
      </c>
      <c r="B6" s="3" t="s">
        <v>8</v>
      </c>
      <c r="C6" s="3">
        <v>50000</v>
      </c>
      <c r="D6" s="3">
        <v>100</v>
      </c>
      <c r="E6" s="3"/>
      <c r="F6" s="8">
        <f t="shared" ref="F6:F13" si="0">C6/D6</f>
        <v>500</v>
      </c>
    </row>
    <row r="7" spans="1:6" x14ac:dyDescent="0.35">
      <c r="A7" s="3">
        <v>2</v>
      </c>
      <c r="B7" s="3" t="s">
        <v>8</v>
      </c>
      <c r="C7" s="3">
        <v>30000</v>
      </c>
      <c r="D7" s="3">
        <v>150</v>
      </c>
      <c r="E7" s="3"/>
      <c r="F7" s="8">
        <f t="shared" si="0"/>
        <v>200</v>
      </c>
    </row>
    <row r="8" spans="1:6" x14ac:dyDescent="0.35">
      <c r="A8" s="3">
        <v>3</v>
      </c>
      <c r="B8" s="3" t="s">
        <v>8</v>
      </c>
      <c r="C8" s="3">
        <v>75000</v>
      </c>
      <c r="D8" s="3">
        <v>110</v>
      </c>
      <c r="E8" s="3"/>
      <c r="F8" s="8">
        <f t="shared" si="0"/>
        <v>681.81818181818187</v>
      </c>
    </row>
    <row r="9" spans="1:6" x14ac:dyDescent="0.35">
      <c r="A9" s="3">
        <v>4</v>
      </c>
      <c r="B9" s="3" t="s">
        <v>8</v>
      </c>
      <c r="C9" s="3">
        <v>80000</v>
      </c>
      <c r="D9" s="3">
        <v>120</v>
      </c>
      <c r="E9" s="3"/>
      <c r="F9" s="8">
        <f t="shared" si="0"/>
        <v>666.66666666666663</v>
      </c>
    </row>
    <row r="10" spans="1:6" x14ac:dyDescent="0.35">
      <c r="A10" s="3">
        <v>5</v>
      </c>
      <c r="B10" s="3" t="s">
        <v>18</v>
      </c>
      <c r="C10" s="3">
        <v>60000</v>
      </c>
      <c r="D10" s="3">
        <v>90</v>
      </c>
      <c r="E10" s="3"/>
      <c r="F10" s="8">
        <f t="shared" si="0"/>
        <v>666.66666666666663</v>
      </c>
    </row>
    <row r="11" spans="1:6" x14ac:dyDescent="0.35">
      <c r="A11" s="3">
        <v>6</v>
      </c>
      <c r="B11" s="3" t="s">
        <v>18</v>
      </c>
      <c r="C11" s="3">
        <v>55000</v>
      </c>
      <c r="D11" s="3">
        <v>110</v>
      </c>
      <c r="E11" s="3"/>
      <c r="F11" s="8">
        <f t="shared" si="0"/>
        <v>500</v>
      </c>
    </row>
    <row r="12" spans="1:6" x14ac:dyDescent="0.35">
      <c r="A12" s="3">
        <v>7</v>
      </c>
      <c r="B12" s="3" t="s">
        <v>18</v>
      </c>
      <c r="C12" s="3">
        <v>65000</v>
      </c>
      <c r="D12" s="3">
        <v>130</v>
      </c>
      <c r="E12" s="3"/>
      <c r="F12" s="8">
        <f t="shared" si="0"/>
        <v>500</v>
      </c>
    </row>
    <row r="13" spans="1:6" x14ac:dyDescent="0.35">
      <c r="A13" s="3">
        <v>8</v>
      </c>
      <c r="B13" s="3" t="s">
        <v>57</v>
      </c>
      <c r="C13" s="3">
        <v>70000</v>
      </c>
      <c r="D13" s="3">
        <v>150</v>
      </c>
      <c r="E13" s="3"/>
      <c r="F13" s="8">
        <f t="shared" si="0"/>
        <v>466.66666666666669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activeCell="E17" sqref="E17"/>
    </sheetView>
  </sheetViews>
  <sheetFormatPr baseColWidth="10" defaultColWidth="8.7265625" defaultRowHeight="14.5" x14ac:dyDescent="0.35"/>
  <cols>
    <col min="1" max="1" width="20" customWidth="1"/>
    <col min="2" max="2" width="30" customWidth="1"/>
    <col min="3" max="4" width="15" customWidth="1"/>
    <col min="5" max="6" width="12" customWidth="1"/>
  </cols>
  <sheetData>
    <row r="1" spans="1:6" ht="15.5" x14ac:dyDescent="0.35">
      <c r="A1" s="12" t="s">
        <v>58</v>
      </c>
      <c r="B1" s="11"/>
      <c r="C1" s="11"/>
      <c r="D1" s="11"/>
      <c r="E1" s="11"/>
      <c r="F1" s="11"/>
    </row>
    <row r="3" spans="1:6" x14ac:dyDescent="0.35">
      <c r="A3" s="5" t="s">
        <v>59</v>
      </c>
    </row>
    <row r="5" spans="1:6" x14ac:dyDescent="0.35">
      <c r="A5" s="6" t="s">
        <v>60</v>
      </c>
      <c r="B5" s="6" t="s">
        <v>29</v>
      </c>
      <c r="C5" s="6" t="s">
        <v>61</v>
      </c>
      <c r="D5" s="6" t="s">
        <v>62</v>
      </c>
      <c r="E5" s="6" t="s">
        <v>63</v>
      </c>
      <c r="F5" s="6" t="s">
        <v>64</v>
      </c>
    </row>
    <row r="6" spans="1:6" x14ac:dyDescent="0.35">
      <c r="A6" s="9" t="s">
        <v>2</v>
      </c>
      <c r="B6" s="7"/>
      <c r="C6" s="7"/>
      <c r="D6" s="7"/>
      <c r="E6" s="7"/>
      <c r="F6" s="7"/>
    </row>
    <row r="7" spans="1:6" x14ac:dyDescent="0.35">
      <c r="A7" s="9" t="s">
        <v>3</v>
      </c>
      <c r="B7" s="7"/>
      <c r="C7" s="7"/>
      <c r="D7" s="7"/>
      <c r="E7" s="7"/>
      <c r="F7" s="7"/>
    </row>
    <row r="8" spans="1:6" x14ac:dyDescent="0.35">
      <c r="A8" s="9" t="s">
        <v>4</v>
      </c>
      <c r="B8" s="7"/>
      <c r="C8" s="7"/>
      <c r="D8" s="7"/>
      <c r="E8" s="7"/>
      <c r="F8" s="7"/>
    </row>
    <row r="9" spans="1:6" x14ac:dyDescent="0.35">
      <c r="A9" s="9" t="s">
        <v>5</v>
      </c>
      <c r="B9" s="7"/>
      <c r="C9" s="7"/>
      <c r="D9" s="7"/>
      <c r="E9" s="7"/>
      <c r="F9" s="7"/>
    </row>
    <row r="10" spans="1:6" x14ac:dyDescent="0.35">
      <c r="A10" s="9" t="s">
        <v>6</v>
      </c>
      <c r="B10" s="7"/>
      <c r="C10" s="7"/>
      <c r="D10" s="7"/>
      <c r="E10" s="7"/>
      <c r="F10" s="7"/>
    </row>
    <row r="11" spans="1:6" x14ac:dyDescent="0.35">
      <c r="A11" s="9" t="s">
        <v>65</v>
      </c>
      <c r="B11" s="7"/>
      <c r="C11" s="7"/>
      <c r="D11" s="7"/>
      <c r="E11" s="7"/>
      <c r="F11" s="7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Datos_Crudos_Trabajo</vt:lpstr>
      <vt:lpstr>Ej1_Diagnostico</vt:lpstr>
      <vt:lpstr>Ej2_Limpiar_Texto</vt:lpstr>
      <vt:lpstr>Ej3_Convertir_Fechas</vt:lpstr>
      <vt:lpstr>Ej4_Detectar_Faltantes</vt:lpstr>
      <vt:lpstr>Ej5_Valores_Negativos</vt:lpstr>
      <vt:lpstr>Ej6_Variables_Derivadas</vt:lpstr>
      <vt:lpstr>Ej7_Diccionario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Hurtado</cp:lastModifiedBy>
  <dcterms:created xsi:type="dcterms:W3CDTF">2026-09-06T20:56:01Z</dcterms:created>
  <dcterms:modified xsi:type="dcterms:W3CDTF">2026-09-07T02:33:10Z</dcterms:modified>
</cp:coreProperties>
</file>