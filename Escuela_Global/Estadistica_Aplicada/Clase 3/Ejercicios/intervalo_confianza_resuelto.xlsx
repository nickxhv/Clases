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Nuevo\Downloads\"/>
    </mc:Choice>
  </mc:AlternateContent>
  <xr:revisionPtr revIDLastSave="0" documentId="13_ncr:1_{4FAFF63F-2002-4CDF-819F-B1CBE564B8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os_Financiero" sheetId="1" r:id="rId1"/>
    <sheet name="Calculo_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3" i="2"/>
  <c r="B4" i="2"/>
  <c r="B11" i="2" s="1"/>
  <c r="B5" i="2" l="1"/>
  <c r="B12" i="2" s="1"/>
  <c r="B14" i="2" s="1"/>
  <c r="B6" i="2"/>
  <c r="B16" i="2"/>
  <c r="B17" i="2" s="1"/>
  <c r="B7" i="2" l="1"/>
  <c r="B13" i="2"/>
  <c r="B18" i="2"/>
  <c r="B19" i="2"/>
  <c r="B8" i="2"/>
  <c r="B9" i="2"/>
</calcChain>
</file>

<file path=xl/sharedStrings.xml><?xml version="1.0" encoding="utf-8"?>
<sst xmlns="http://schemas.openxmlformats.org/spreadsheetml/2006/main" count="21" uniqueCount="21">
  <si>
    <t>id</t>
  </si>
  <si>
    <t>ingreso</t>
  </si>
  <si>
    <t>Estadístico</t>
  </si>
  <si>
    <t>Fórmula Excel</t>
  </si>
  <si>
    <t>Valor</t>
  </si>
  <si>
    <t>Media (x̄)</t>
  </si>
  <si>
    <t>Desv. Est. (s)</t>
  </si>
  <si>
    <t>N</t>
  </si>
  <si>
    <t>Error Estándar (SE)</t>
  </si>
  <si>
    <t>t crítico (95%)</t>
  </si>
  <si>
    <t>Margen de error</t>
  </si>
  <si>
    <t>Límite inferior</t>
  </si>
  <si>
    <t>Límite superior</t>
  </si>
  <si>
    <t>t crítico (90%)</t>
  </si>
  <si>
    <t>Margen 90%</t>
  </si>
  <si>
    <t>LI 90%</t>
  </si>
  <si>
    <t>LS 90%</t>
  </si>
  <si>
    <t>t crítico (99%)</t>
  </si>
  <si>
    <t>Margen 99%</t>
  </si>
  <si>
    <t>LI 99%</t>
  </si>
  <si>
    <t>LS 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</si>
</sst>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3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62194B-79A4-49B5-89C6-585FA505E95A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2f49df6e-c5e6-40ec-9e21-bd6b4ae4721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workbookViewId="0">
      <selection activeCell="D17" sqref="D17"/>
    </sheetView>
  </sheetViews>
  <sheetFormatPr baseColWidth="10" defaultColWidth="8.7265625" defaultRowHeight="14.5" x14ac:dyDescent="0.35"/>
  <cols>
    <col min="1" max="1" width="8" customWidth="1"/>
    <col min="2" max="2" width="14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1</v>
      </c>
      <c r="B2" s="2">
        <v>5460.76</v>
      </c>
    </row>
    <row r="3" spans="1:2" x14ac:dyDescent="0.35">
      <c r="A3" s="2">
        <v>2</v>
      </c>
      <c r="B3" s="2">
        <v>4447.0200000000004</v>
      </c>
    </row>
    <row r="4" spans="1:2" x14ac:dyDescent="0.35">
      <c r="A4" s="2">
        <v>3</v>
      </c>
      <c r="B4" s="2">
        <v>4598.6899999999996</v>
      </c>
    </row>
    <row r="5" spans="1:2" x14ac:dyDescent="0.35">
      <c r="A5" s="2">
        <v>4</v>
      </c>
      <c r="B5" s="2">
        <v>5417.67</v>
      </c>
    </row>
    <row r="6" spans="1:2" x14ac:dyDescent="0.35">
      <c r="A6" s="2">
        <v>5</v>
      </c>
      <c r="B6" s="2">
        <v>4878.25</v>
      </c>
    </row>
    <row r="7" spans="1:2" x14ac:dyDescent="0.35">
      <c r="A7" s="2">
        <v>6</v>
      </c>
      <c r="B7" s="2">
        <v>4987.66</v>
      </c>
    </row>
    <row r="8" spans="1:2" x14ac:dyDescent="0.35">
      <c r="A8" s="2">
        <v>7</v>
      </c>
      <c r="B8" s="2">
        <v>5971.56</v>
      </c>
    </row>
    <row r="9" spans="1:2" x14ac:dyDescent="0.35">
      <c r="A9" s="2">
        <v>8</v>
      </c>
      <c r="B9" s="2">
        <v>1931.68</v>
      </c>
    </row>
    <row r="10" spans="1:2" x14ac:dyDescent="0.35">
      <c r="A10" s="2">
        <v>9</v>
      </c>
      <c r="B10" s="2">
        <v>4737.93</v>
      </c>
    </row>
    <row r="11" spans="1:2" x14ac:dyDescent="0.35">
      <c r="A11" s="2">
        <v>10</v>
      </c>
      <c r="B11" s="2">
        <v>3306.25</v>
      </c>
    </row>
    <row r="12" spans="1:2" x14ac:dyDescent="0.35">
      <c r="A12" s="2">
        <v>11</v>
      </c>
      <c r="B12" s="2">
        <v>4130.42</v>
      </c>
    </row>
    <row r="13" spans="1:2" x14ac:dyDescent="0.35">
      <c r="A13" s="2">
        <v>12</v>
      </c>
      <c r="B13" s="2">
        <v>5842.99</v>
      </c>
    </row>
    <row r="14" spans="1:2" x14ac:dyDescent="0.35">
      <c r="A14" s="2">
        <v>13</v>
      </c>
      <c r="B14" s="2">
        <v>3869.14</v>
      </c>
    </row>
    <row r="15" spans="1:2" x14ac:dyDescent="0.35">
      <c r="A15" s="2">
        <v>14</v>
      </c>
      <c r="B15" s="2">
        <v>2946.62</v>
      </c>
    </row>
    <row r="16" spans="1:2" x14ac:dyDescent="0.35">
      <c r="A16" s="2">
        <v>15</v>
      </c>
      <c r="B16" s="2">
        <v>3930.54</v>
      </c>
    </row>
    <row r="17" spans="1:2" x14ac:dyDescent="0.35">
      <c r="A17" s="2">
        <v>16</v>
      </c>
      <c r="B17" s="2">
        <v>3905.42</v>
      </c>
    </row>
    <row r="18" spans="1:2" x14ac:dyDescent="0.35">
      <c r="A18" s="2">
        <v>17</v>
      </c>
      <c r="B18" s="2">
        <v>3249.17</v>
      </c>
    </row>
    <row r="19" spans="1:2" x14ac:dyDescent="0.35">
      <c r="A19" s="2">
        <v>18</v>
      </c>
      <c r="B19" s="2">
        <v>4055.24</v>
      </c>
    </row>
    <row r="20" spans="1:2" x14ac:dyDescent="0.35">
      <c r="A20" s="2">
        <v>19</v>
      </c>
      <c r="B20" s="2">
        <v>2959.38</v>
      </c>
    </row>
    <row r="21" spans="1:2" x14ac:dyDescent="0.35">
      <c r="A21" s="2">
        <v>20</v>
      </c>
      <c r="B21" s="2">
        <v>3304.33</v>
      </c>
    </row>
    <row r="22" spans="1:2" x14ac:dyDescent="0.35">
      <c r="A22" s="2">
        <v>21</v>
      </c>
      <c r="B22" s="2">
        <v>4140.93</v>
      </c>
    </row>
    <row r="23" spans="1:2" x14ac:dyDescent="0.35">
      <c r="A23" s="2">
        <v>22</v>
      </c>
      <c r="B23" s="2">
        <v>6022.46</v>
      </c>
    </row>
    <row r="24" spans="1:2" x14ac:dyDescent="0.35">
      <c r="A24" s="2">
        <v>23</v>
      </c>
      <c r="B24" s="2">
        <v>4028.26</v>
      </c>
    </row>
    <row r="25" spans="1:2" x14ac:dyDescent="0.35">
      <c r="A25" s="2">
        <v>24</v>
      </c>
      <c r="B25" s="2">
        <v>4660.99</v>
      </c>
    </row>
    <row r="26" spans="1:2" x14ac:dyDescent="0.35">
      <c r="A26" s="2">
        <v>25</v>
      </c>
      <c r="B26" s="2">
        <v>4356.2</v>
      </c>
    </row>
    <row r="27" spans="1:2" x14ac:dyDescent="0.35">
      <c r="A27" s="2">
        <v>26</v>
      </c>
      <c r="B27" s="2">
        <v>3771.41</v>
      </c>
    </row>
    <row r="28" spans="1:2" x14ac:dyDescent="0.35">
      <c r="A28" s="2">
        <v>27</v>
      </c>
      <c r="B28" s="2">
        <v>2389.12</v>
      </c>
    </row>
    <row r="29" spans="1:2" x14ac:dyDescent="0.35">
      <c r="A29" s="2">
        <v>28</v>
      </c>
      <c r="B29" s="2">
        <v>3588.49</v>
      </c>
    </row>
    <row r="30" spans="1:2" x14ac:dyDescent="0.35">
      <c r="A30" s="2">
        <v>29</v>
      </c>
      <c r="B30" s="2">
        <v>4623.3500000000004</v>
      </c>
    </row>
    <row r="31" spans="1:2" x14ac:dyDescent="0.35">
      <c r="A31" s="2">
        <v>30</v>
      </c>
      <c r="B31" s="2">
        <v>3671.51</v>
      </c>
    </row>
    <row r="32" spans="1:2" x14ac:dyDescent="0.35">
      <c r="A32" s="2">
        <v>31</v>
      </c>
      <c r="B32" s="2">
        <v>3772.39</v>
      </c>
    </row>
    <row r="33" spans="1:2" x14ac:dyDescent="0.35">
      <c r="A33" s="2">
        <v>32</v>
      </c>
      <c r="B33" s="2">
        <v>2711.33</v>
      </c>
    </row>
    <row r="34" spans="1:2" x14ac:dyDescent="0.35">
      <c r="A34" s="2">
        <v>33</v>
      </c>
      <c r="B34" s="2">
        <v>2982.17</v>
      </c>
    </row>
    <row r="35" spans="1:2" x14ac:dyDescent="0.35">
      <c r="A35" s="2">
        <v>34</v>
      </c>
      <c r="B35" s="2">
        <v>3722.16</v>
      </c>
    </row>
    <row r="36" spans="1:2" x14ac:dyDescent="0.35">
      <c r="A36" s="2">
        <v>35</v>
      </c>
      <c r="B36" s="2">
        <v>4057.26</v>
      </c>
    </row>
    <row r="37" spans="1:2" x14ac:dyDescent="0.35">
      <c r="A37" s="2">
        <v>36</v>
      </c>
      <c r="B37" s="2">
        <v>3202.38</v>
      </c>
    </row>
    <row r="38" spans="1:2" x14ac:dyDescent="0.35">
      <c r="A38" s="2">
        <v>37</v>
      </c>
      <c r="B38" s="2">
        <v>4118.1499999999996</v>
      </c>
    </row>
    <row r="39" spans="1:2" x14ac:dyDescent="0.35">
      <c r="A39" s="2">
        <v>38</v>
      </c>
      <c r="B39" s="2">
        <v>1639.36</v>
      </c>
    </row>
    <row r="40" spans="1:2" x14ac:dyDescent="0.35">
      <c r="A40" s="2">
        <v>39</v>
      </c>
      <c r="B40" s="2">
        <v>2635.69</v>
      </c>
    </row>
    <row r="41" spans="1:2" x14ac:dyDescent="0.35">
      <c r="A41" s="2">
        <v>40</v>
      </c>
      <c r="B41" s="2">
        <v>4457.63</v>
      </c>
    </row>
    <row r="42" spans="1:2" x14ac:dyDescent="0.35">
      <c r="A42" s="2">
        <v>41</v>
      </c>
      <c r="B42" s="2">
        <v>2711.78</v>
      </c>
    </row>
    <row r="43" spans="1:2" x14ac:dyDescent="0.35">
      <c r="A43" s="2">
        <v>42</v>
      </c>
      <c r="B43" s="2">
        <v>2944.46</v>
      </c>
    </row>
    <row r="44" spans="1:2" x14ac:dyDescent="0.35">
      <c r="A44" s="2">
        <v>43</v>
      </c>
      <c r="B44" s="2">
        <v>5196.2</v>
      </c>
    </row>
    <row r="45" spans="1:2" x14ac:dyDescent="0.35">
      <c r="A45" s="2">
        <v>44</v>
      </c>
      <c r="B45" s="2">
        <v>5138.7</v>
      </c>
    </row>
    <row r="46" spans="1:2" x14ac:dyDescent="0.35">
      <c r="A46" s="2">
        <v>45</v>
      </c>
      <c r="B46" s="2">
        <v>2501.9899999999998</v>
      </c>
    </row>
    <row r="47" spans="1:2" x14ac:dyDescent="0.35">
      <c r="A47" s="2">
        <v>46</v>
      </c>
      <c r="B47" s="2">
        <v>2819.23</v>
      </c>
    </row>
    <row r="48" spans="1:2" x14ac:dyDescent="0.35">
      <c r="A48" s="2">
        <v>47</v>
      </c>
      <c r="B48" s="2">
        <v>3394.43</v>
      </c>
    </row>
    <row r="49" spans="1:2" x14ac:dyDescent="0.35">
      <c r="A49" s="2">
        <v>48</v>
      </c>
      <c r="B49" s="2">
        <v>4345.4399999999996</v>
      </c>
    </row>
    <row r="50" spans="1:2" x14ac:dyDescent="0.35">
      <c r="A50" s="2">
        <v>49</v>
      </c>
      <c r="B50" s="2">
        <v>4195.58</v>
      </c>
    </row>
    <row r="51" spans="1:2" x14ac:dyDescent="0.35">
      <c r="A51" s="2">
        <v>50</v>
      </c>
      <c r="B51" s="2">
        <v>3751.37</v>
      </c>
    </row>
    <row r="52" spans="1:2" x14ac:dyDescent="0.35">
      <c r="A52" s="2">
        <v>51</v>
      </c>
      <c r="B52" s="2">
        <v>3156.46</v>
      </c>
    </row>
    <row r="53" spans="1:2" x14ac:dyDescent="0.35">
      <c r="A53" s="2">
        <v>52</v>
      </c>
      <c r="B53" s="2">
        <v>2334.15</v>
      </c>
    </row>
    <row r="54" spans="1:2" x14ac:dyDescent="0.35">
      <c r="A54" s="2">
        <v>53</v>
      </c>
      <c r="B54" s="2">
        <v>3099.43</v>
      </c>
    </row>
    <row r="55" spans="1:2" x14ac:dyDescent="0.35">
      <c r="A55" s="2">
        <v>54</v>
      </c>
      <c r="B55" s="2">
        <v>2478.85</v>
      </c>
    </row>
    <row r="56" spans="1:2" x14ac:dyDescent="0.35">
      <c r="A56" s="2">
        <v>55</v>
      </c>
      <c r="B56" s="2">
        <v>2491.7399999999998</v>
      </c>
    </row>
    <row r="57" spans="1:2" x14ac:dyDescent="0.35">
      <c r="A57" s="2">
        <v>56</v>
      </c>
      <c r="B57" s="2">
        <v>2727.63</v>
      </c>
    </row>
    <row r="58" spans="1:2" x14ac:dyDescent="0.35">
      <c r="A58" s="2">
        <v>57</v>
      </c>
      <c r="B58" s="2">
        <v>1307.1600000000001</v>
      </c>
    </row>
    <row r="59" spans="1:2" x14ac:dyDescent="0.35">
      <c r="A59" s="2">
        <v>58</v>
      </c>
      <c r="B59" s="2">
        <v>2950.24</v>
      </c>
    </row>
    <row r="60" spans="1:2" x14ac:dyDescent="0.35">
      <c r="A60" s="2">
        <v>59</v>
      </c>
      <c r="B60" s="2">
        <v>4895.54</v>
      </c>
    </row>
    <row r="61" spans="1:2" x14ac:dyDescent="0.35">
      <c r="A61" s="2">
        <v>60</v>
      </c>
      <c r="B61" s="2">
        <v>3651.18</v>
      </c>
    </row>
    <row r="62" spans="1:2" x14ac:dyDescent="0.35">
      <c r="A62" s="2">
        <v>61</v>
      </c>
      <c r="B62" s="2">
        <v>4983.51</v>
      </c>
    </row>
    <row r="63" spans="1:2" x14ac:dyDescent="0.35">
      <c r="A63" s="2">
        <v>62</v>
      </c>
      <c r="B63" s="2">
        <v>3837.3</v>
      </c>
    </row>
    <row r="64" spans="1:2" x14ac:dyDescent="0.35">
      <c r="A64" s="2">
        <v>63</v>
      </c>
      <c r="B64" s="2">
        <v>3927.45</v>
      </c>
    </row>
    <row r="65" spans="1:2" x14ac:dyDescent="0.35">
      <c r="A65" s="2">
        <v>64</v>
      </c>
      <c r="B65" s="2">
        <v>3420.41</v>
      </c>
    </row>
    <row r="66" spans="1:2" x14ac:dyDescent="0.35">
      <c r="A66" s="2">
        <v>65</v>
      </c>
      <c r="B66" s="2">
        <v>4038.88</v>
      </c>
    </row>
    <row r="67" spans="1:2" x14ac:dyDescent="0.35">
      <c r="A67" s="2">
        <v>66</v>
      </c>
      <c r="B67" s="2">
        <v>4030.2</v>
      </c>
    </row>
    <row r="68" spans="1:2" x14ac:dyDescent="0.35">
      <c r="A68" s="2">
        <v>67</v>
      </c>
      <c r="B68" s="2">
        <v>3999.91</v>
      </c>
    </row>
    <row r="69" spans="1:2" x14ac:dyDescent="0.35">
      <c r="A69" s="2">
        <v>68</v>
      </c>
      <c r="B69" s="2">
        <v>500</v>
      </c>
    </row>
    <row r="70" spans="1:2" x14ac:dyDescent="0.35">
      <c r="A70" s="2">
        <v>69</v>
      </c>
      <c r="B70" s="2">
        <v>5795.03</v>
      </c>
    </row>
    <row r="71" spans="1:2" x14ac:dyDescent="0.35">
      <c r="A71" s="2">
        <v>70</v>
      </c>
      <c r="B71" s="2">
        <v>2438.4699999999998</v>
      </c>
    </row>
    <row r="72" spans="1:2" x14ac:dyDescent="0.35">
      <c r="A72" s="2">
        <v>71</v>
      </c>
      <c r="B72" s="2">
        <v>1790.95</v>
      </c>
    </row>
    <row r="73" spans="1:2" x14ac:dyDescent="0.35">
      <c r="A73" s="2">
        <v>72</v>
      </c>
      <c r="B73" s="2">
        <v>5205.3500000000004</v>
      </c>
    </row>
    <row r="74" spans="1:2" x14ac:dyDescent="0.35">
      <c r="A74" s="2">
        <v>73</v>
      </c>
      <c r="B74" s="2">
        <v>4098.25</v>
      </c>
    </row>
    <row r="75" spans="1:2" x14ac:dyDescent="0.35">
      <c r="A75" s="2">
        <v>74</v>
      </c>
      <c r="B75" s="2">
        <v>3329.07</v>
      </c>
    </row>
    <row r="76" spans="1:2" x14ac:dyDescent="0.35">
      <c r="A76" s="2">
        <v>75</v>
      </c>
      <c r="B76" s="2">
        <v>3549.15</v>
      </c>
    </row>
    <row r="77" spans="1:2" x14ac:dyDescent="0.35">
      <c r="A77" s="2">
        <v>76</v>
      </c>
      <c r="B77" s="2">
        <v>4613.2</v>
      </c>
    </row>
    <row r="78" spans="1:2" x14ac:dyDescent="0.35">
      <c r="A78" s="2">
        <v>77</v>
      </c>
      <c r="B78" s="2">
        <v>5555.89</v>
      </c>
    </row>
    <row r="79" spans="1:2" x14ac:dyDescent="0.35">
      <c r="A79" s="2">
        <v>78</v>
      </c>
      <c r="B79" s="2">
        <v>4665.24</v>
      </c>
    </row>
    <row r="80" spans="1:2" x14ac:dyDescent="0.35">
      <c r="A80" s="2">
        <v>79</v>
      </c>
      <c r="B80" s="2">
        <v>3503.04</v>
      </c>
    </row>
    <row r="81" spans="1:2" x14ac:dyDescent="0.35">
      <c r="A81" s="2">
        <v>80</v>
      </c>
      <c r="B81" s="2">
        <v>2217.66</v>
      </c>
    </row>
    <row r="82" spans="1:2" x14ac:dyDescent="0.35">
      <c r="A82" s="2">
        <v>81</v>
      </c>
      <c r="B82" s="2">
        <v>3652.12</v>
      </c>
    </row>
    <row r="83" spans="1:2" x14ac:dyDescent="0.35">
      <c r="A83" s="2">
        <v>82</v>
      </c>
      <c r="B83" s="2">
        <v>1407.91</v>
      </c>
    </row>
    <row r="84" spans="1:2" x14ac:dyDescent="0.35">
      <c r="A84" s="2">
        <v>83</v>
      </c>
      <c r="B84" s="2">
        <v>3538.48</v>
      </c>
    </row>
    <row r="85" spans="1:2" x14ac:dyDescent="0.35">
      <c r="A85" s="2">
        <v>84</v>
      </c>
      <c r="B85" s="2">
        <v>3423.27</v>
      </c>
    </row>
    <row r="86" spans="1:2" x14ac:dyDescent="0.35">
      <c r="A86" s="2">
        <v>85</v>
      </c>
      <c r="B86" s="2">
        <v>4842.55</v>
      </c>
    </row>
    <row r="87" spans="1:2" x14ac:dyDescent="0.35">
      <c r="A87" s="2">
        <v>86</v>
      </c>
      <c r="B87" s="2">
        <v>4327.1499999999996</v>
      </c>
    </row>
    <row r="88" spans="1:2" x14ac:dyDescent="0.35">
      <c r="A88" s="2">
        <v>87</v>
      </c>
      <c r="B88" s="2">
        <v>5165.9799999999996</v>
      </c>
    </row>
    <row r="89" spans="1:2" x14ac:dyDescent="0.35">
      <c r="A89" s="2">
        <v>88</v>
      </c>
      <c r="B89" s="2">
        <v>5002.54</v>
      </c>
    </row>
    <row r="90" spans="1:2" x14ac:dyDescent="0.35">
      <c r="A90" s="2">
        <v>89</v>
      </c>
      <c r="B90" s="2">
        <v>4075.48</v>
      </c>
    </row>
    <row r="91" spans="1:2" x14ac:dyDescent="0.35">
      <c r="A91" s="2">
        <v>90</v>
      </c>
      <c r="B91" s="2">
        <v>2512.19</v>
      </c>
    </row>
    <row r="92" spans="1:2" x14ac:dyDescent="0.35">
      <c r="A92" s="2">
        <v>91</v>
      </c>
      <c r="B92" s="2">
        <v>1828.91</v>
      </c>
    </row>
    <row r="93" spans="1:2" x14ac:dyDescent="0.35">
      <c r="A93" s="2">
        <v>92</v>
      </c>
      <c r="B93" s="2">
        <v>4398.21</v>
      </c>
    </row>
    <row r="94" spans="1:2" x14ac:dyDescent="0.35">
      <c r="A94" s="2">
        <v>93</v>
      </c>
      <c r="B94" s="2">
        <v>3515.07</v>
      </c>
    </row>
    <row r="95" spans="1:2" x14ac:dyDescent="0.35">
      <c r="A95" s="2">
        <v>94</v>
      </c>
      <c r="B95" s="2">
        <v>3483.14</v>
      </c>
    </row>
    <row r="96" spans="1:2" x14ac:dyDescent="0.35">
      <c r="A96" s="2">
        <v>95</v>
      </c>
      <c r="B96" s="2">
        <v>4864.8999999999996</v>
      </c>
    </row>
    <row r="97" spans="1:2" x14ac:dyDescent="0.35">
      <c r="A97" s="2">
        <v>96</v>
      </c>
      <c r="B97" s="2">
        <v>3313.94</v>
      </c>
    </row>
    <row r="98" spans="1:2" x14ac:dyDescent="0.35">
      <c r="A98" s="2">
        <v>97</v>
      </c>
      <c r="B98" s="2">
        <v>6030.07</v>
      </c>
    </row>
    <row r="99" spans="1:2" x14ac:dyDescent="0.35">
      <c r="A99" s="2">
        <v>98</v>
      </c>
      <c r="B99" s="2">
        <v>3568.02</v>
      </c>
    </row>
    <row r="100" spans="1:2" x14ac:dyDescent="0.35">
      <c r="A100" s="2">
        <v>99</v>
      </c>
      <c r="B100" s="2">
        <v>4001.93</v>
      </c>
    </row>
    <row r="101" spans="1:2" x14ac:dyDescent="0.35">
      <c r="A101" s="2">
        <v>100</v>
      </c>
      <c r="B101" s="2">
        <v>3424.56</v>
      </c>
    </row>
    <row r="102" spans="1:2" x14ac:dyDescent="0.35">
      <c r="A102" s="2">
        <v>101</v>
      </c>
      <c r="B102" s="2">
        <v>1770.24</v>
      </c>
    </row>
    <row r="103" spans="1:2" x14ac:dyDescent="0.35">
      <c r="A103" s="2">
        <v>102</v>
      </c>
      <c r="B103" s="2">
        <v>752.82</v>
      </c>
    </row>
    <row r="104" spans="1:2" x14ac:dyDescent="0.35">
      <c r="A104" s="2">
        <v>103</v>
      </c>
      <c r="B104" s="2">
        <v>3943.49</v>
      </c>
    </row>
    <row r="105" spans="1:2" x14ac:dyDescent="0.35">
      <c r="A105" s="2">
        <v>104</v>
      </c>
      <c r="B105" s="2">
        <v>4808.1099999999997</v>
      </c>
    </row>
    <row r="106" spans="1:2" x14ac:dyDescent="0.35">
      <c r="A106" s="2">
        <v>105</v>
      </c>
      <c r="B106" s="2">
        <v>2292.86</v>
      </c>
    </row>
    <row r="107" spans="1:2" x14ac:dyDescent="0.35">
      <c r="A107" s="2">
        <v>106</v>
      </c>
      <c r="B107" s="2">
        <v>4349.43</v>
      </c>
    </row>
    <row r="108" spans="1:2" x14ac:dyDescent="0.35">
      <c r="A108" s="2">
        <v>107</v>
      </c>
      <c r="B108" s="2">
        <v>3870.92</v>
      </c>
    </row>
    <row r="109" spans="1:2" x14ac:dyDescent="0.35">
      <c r="A109" s="2">
        <v>108</v>
      </c>
      <c r="B109" s="2">
        <v>3963.56</v>
      </c>
    </row>
    <row r="110" spans="1:2" x14ac:dyDescent="0.35">
      <c r="A110" s="2">
        <v>109</v>
      </c>
      <c r="B110" s="2">
        <v>3507.28</v>
      </c>
    </row>
    <row r="111" spans="1:2" x14ac:dyDescent="0.35">
      <c r="A111" s="2">
        <v>110</v>
      </c>
      <c r="B111" s="2">
        <v>3868.42</v>
      </c>
    </row>
    <row r="112" spans="1:2" x14ac:dyDescent="0.35">
      <c r="A112" s="2">
        <v>111</v>
      </c>
      <c r="B112" s="2">
        <v>3916.87</v>
      </c>
    </row>
    <row r="113" spans="1:2" x14ac:dyDescent="0.35">
      <c r="A113" s="2">
        <v>112</v>
      </c>
      <c r="B113" s="2">
        <v>2291.3200000000002</v>
      </c>
    </row>
    <row r="114" spans="1:2" x14ac:dyDescent="0.35">
      <c r="A114" s="2">
        <v>113</v>
      </c>
      <c r="B114" s="2">
        <v>6802.85</v>
      </c>
    </row>
    <row r="115" spans="1:2" x14ac:dyDescent="0.35">
      <c r="A115" s="2">
        <v>114</v>
      </c>
      <c r="B115" s="2">
        <v>2615.34</v>
      </c>
    </row>
    <row r="116" spans="1:2" x14ac:dyDescent="0.35">
      <c r="A116" s="2">
        <v>115</v>
      </c>
      <c r="B116" s="2">
        <v>3944.2</v>
      </c>
    </row>
    <row r="117" spans="1:2" x14ac:dyDescent="0.35">
      <c r="A117" s="2">
        <v>116</v>
      </c>
      <c r="B117" s="2">
        <v>3509.24</v>
      </c>
    </row>
    <row r="118" spans="1:2" x14ac:dyDescent="0.35">
      <c r="A118" s="2">
        <v>117</v>
      </c>
      <c r="B118" s="2">
        <v>5062.55</v>
      </c>
    </row>
    <row r="119" spans="1:2" x14ac:dyDescent="0.35">
      <c r="A119" s="2">
        <v>118</v>
      </c>
      <c r="B119" s="2">
        <v>4074.7</v>
      </c>
    </row>
    <row r="120" spans="1:2" x14ac:dyDescent="0.35">
      <c r="A120" s="2">
        <v>119</v>
      </c>
      <c r="B120" s="2">
        <v>2733.92</v>
      </c>
    </row>
    <row r="121" spans="1:2" x14ac:dyDescent="0.35">
      <c r="A121" s="2">
        <v>120</v>
      </c>
      <c r="B121" s="2">
        <v>3471.59</v>
      </c>
    </row>
    <row r="122" spans="1:2" x14ac:dyDescent="0.35">
      <c r="A122" s="2">
        <v>121</v>
      </c>
      <c r="B122" s="2">
        <v>3776.67</v>
      </c>
    </row>
    <row r="123" spans="1:2" x14ac:dyDescent="0.35">
      <c r="A123" s="2">
        <v>122</v>
      </c>
      <c r="B123" s="2">
        <v>2338.5</v>
      </c>
    </row>
    <row r="124" spans="1:2" x14ac:dyDescent="0.35">
      <c r="A124" s="2">
        <v>123</v>
      </c>
      <c r="B124" s="2">
        <v>4135.6000000000004</v>
      </c>
    </row>
    <row r="125" spans="1:2" x14ac:dyDescent="0.35">
      <c r="A125" s="2">
        <v>124</v>
      </c>
      <c r="B125" s="2">
        <v>2838.07</v>
      </c>
    </row>
    <row r="126" spans="1:2" x14ac:dyDescent="0.35">
      <c r="A126" s="2">
        <v>125</v>
      </c>
      <c r="B126" s="2">
        <v>823.93</v>
      </c>
    </row>
    <row r="127" spans="1:2" x14ac:dyDescent="0.35">
      <c r="A127" s="2">
        <v>126</v>
      </c>
      <c r="B127" s="2">
        <v>3040.27</v>
      </c>
    </row>
    <row r="128" spans="1:2" x14ac:dyDescent="0.35">
      <c r="A128" s="2">
        <v>127</v>
      </c>
      <c r="B128" s="2">
        <v>3838.56</v>
      </c>
    </row>
    <row r="129" spans="1:2" x14ac:dyDescent="0.35">
      <c r="A129" s="2">
        <v>128</v>
      </c>
      <c r="B129" s="2">
        <v>5080.71</v>
      </c>
    </row>
    <row r="130" spans="1:2" x14ac:dyDescent="0.35">
      <c r="A130" s="2">
        <v>129</v>
      </c>
      <c r="B130" s="2">
        <v>3858.51</v>
      </c>
    </row>
    <row r="131" spans="1:2" x14ac:dyDescent="0.35">
      <c r="A131" s="2">
        <v>130</v>
      </c>
      <c r="B131" s="2">
        <v>5091.7700000000004</v>
      </c>
    </row>
    <row r="132" spans="1:2" x14ac:dyDescent="0.35">
      <c r="A132" s="2">
        <v>131</v>
      </c>
      <c r="B132" s="2">
        <v>4388.18</v>
      </c>
    </row>
    <row r="133" spans="1:2" x14ac:dyDescent="0.35">
      <c r="A133" s="2">
        <v>132</v>
      </c>
      <c r="B133" s="2">
        <v>5033.03</v>
      </c>
    </row>
    <row r="134" spans="1:2" x14ac:dyDescent="0.35">
      <c r="A134" s="2">
        <v>133</v>
      </c>
      <c r="B134" s="2">
        <v>3499.07</v>
      </c>
    </row>
    <row r="135" spans="1:2" x14ac:dyDescent="0.35">
      <c r="A135" s="2">
        <v>134</v>
      </c>
      <c r="B135" s="2">
        <v>1841.15</v>
      </c>
    </row>
    <row r="136" spans="1:2" x14ac:dyDescent="0.35">
      <c r="A136" s="2">
        <v>135</v>
      </c>
      <c r="B136" s="2">
        <v>2655.79</v>
      </c>
    </row>
    <row r="137" spans="1:2" x14ac:dyDescent="0.35">
      <c r="A137" s="2">
        <v>136</v>
      </c>
      <c r="B137" s="2">
        <v>2933.39</v>
      </c>
    </row>
    <row r="138" spans="1:2" x14ac:dyDescent="0.35">
      <c r="A138" s="2">
        <v>137</v>
      </c>
      <c r="B138" s="2">
        <v>2879.71</v>
      </c>
    </row>
    <row r="139" spans="1:2" x14ac:dyDescent="0.35">
      <c r="A139" s="2">
        <v>138</v>
      </c>
      <c r="B139" s="2">
        <v>1518.8</v>
      </c>
    </row>
    <row r="140" spans="1:2" x14ac:dyDescent="0.35">
      <c r="A140" s="2">
        <v>139</v>
      </c>
      <c r="B140" s="2">
        <v>3498.14</v>
      </c>
    </row>
    <row r="141" spans="1:2" x14ac:dyDescent="0.35">
      <c r="A141" s="2">
        <v>140</v>
      </c>
      <c r="B141" s="2">
        <v>4212</v>
      </c>
    </row>
    <row r="142" spans="1:2" x14ac:dyDescent="0.35">
      <c r="A142" s="2">
        <v>141</v>
      </c>
      <c r="B142" s="2">
        <v>3770.74</v>
      </c>
    </row>
    <row r="143" spans="1:2" x14ac:dyDescent="0.35">
      <c r="A143" s="2">
        <v>142</v>
      </c>
      <c r="B143" s="2">
        <v>2162.6799999999998</v>
      </c>
    </row>
    <row r="144" spans="1:2" x14ac:dyDescent="0.35">
      <c r="A144" s="2">
        <v>143</v>
      </c>
      <c r="B144" s="2">
        <v>2868.44</v>
      </c>
    </row>
    <row r="145" spans="1:2" x14ac:dyDescent="0.35">
      <c r="A145" s="2">
        <v>144</v>
      </c>
      <c r="B145" s="2">
        <v>3735.9</v>
      </c>
    </row>
    <row r="146" spans="1:2" x14ac:dyDescent="0.35">
      <c r="A146" s="2">
        <v>145</v>
      </c>
      <c r="B146" s="2">
        <v>5145.8999999999996</v>
      </c>
    </row>
    <row r="147" spans="1:2" x14ac:dyDescent="0.35">
      <c r="A147" s="2">
        <v>146</v>
      </c>
      <c r="B147" s="2">
        <v>3137.7</v>
      </c>
    </row>
    <row r="148" spans="1:2" x14ac:dyDescent="0.35">
      <c r="A148" s="2">
        <v>147</v>
      </c>
      <c r="B148" s="2">
        <v>3277.57</v>
      </c>
    </row>
    <row r="149" spans="1:2" x14ac:dyDescent="0.35">
      <c r="A149" s="2">
        <v>148</v>
      </c>
      <c r="B149" s="2">
        <v>1795.83</v>
      </c>
    </row>
    <row r="150" spans="1:2" x14ac:dyDescent="0.35">
      <c r="A150" s="2">
        <v>149</v>
      </c>
      <c r="B150" s="2">
        <v>1478.74</v>
      </c>
    </row>
    <row r="151" spans="1:2" x14ac:dyDescent="0.35">
      <c r="A151" s="2">
        <v>150</v>
      </c>
      <c r="B151" s="2">
        <v>4014.98</v>
      </c>
    </row>
    <row r="152" spans="1:2" x14ac:dyDescent="0.35">
      <c r="A152" s="2">
        <v>151</v>
      </c>
      <c r="B152" s="2">
        <v>4193.0600000000004</v>
      </c>
    </row>
    <row r="153" spans="1:2" x14ac:dyDescent="0.35">
      <c r="A153" s="2">
        <v>152</v>
      </c>
      <c r="B153" s="2">
        <v>2811.98</v>
      </c>
    </row>
    <row r="154" spans="1:2" x14ac:dyDescent="0.35">
      <c r="A154" s="2">
        <v>153</v>
      </c>
      <c r="B154" s="2">
        <v>4833.04</v>
      </c>
    </row>
    <row r="155" spans="1:2" x14ac:dyDescent="0.35">
      <c r="A155" s="2">
        <v>154</v>
      </c>
      <c r="B155" s="2">
        <v>5740.51</v>
      </c>
    </row>
    <row r="156" spans="1:2" x14ac:dyDescent="0.35">
      <c r="A156" s="2">
        <v>155</v>
      </c>
      <c r="B156" s="2">
        <v>6037.17</v>
      </c>
    </row>
    <row r="157" spans="1:2" x14ac:dyDescent="0.35">
      <c r="A157" s="2">
        <v>156</v>
      </c>
      <c r="B157" s="2">
        <v>974.96</v>
      </c>
    </row>
    <row r="158" spans="1:2" x14ac:dyDescent="0.35">
      <c r="A158" s="2">
        <v>157</v>
      </c>
      <c r="B158" s="2">
        <v>6744.29</v>
      </c>
    </row>
    <row r="159" spans="1:2" x14ac:dyDescent="0.35">
      <c r="A159" s="2">
        <v>158</v>
      </c>
      <c r="B159" s="2">
        <v>2940.51</v>
      </c>
    </row>
    <row r="160" spans="1:2" x14ac:dyDescent="0.35">
      <c r="A160" s="2">
        <v>159</v>
      </c>
      <c r="B160" s="2">
        <v>3221.86</v>
      </c>
    </row>
    <row r="161" spans="1:2" x14ac:dyDescent="0.35">
      <c r="A161" s="2">
        <v>160</v>
      </c>
      <c r="B161" s="2">
        <v>2448.5100000000002</v>
      </c>
    </row>
    <row r="162" spans="1:2" x14ac:dyDescent="0.35">
      <c r="A162" s="2">
        <v>161</v>
      </c>
      <c r="B162" s="2">
        <v>2098.58</v>
      </c>
    </row>
    <row r="163" spans="1:2" x14ac:dyDescent="0.35">
      <c r="A163" s="2">
        <v>162</v>
      </c>
      <c r="B163" s="2">
        <v>2216.14</v>
      </c>
    </row>
    <row r="164" spans="1:2" x14ac:dyDescent="0.35">
      <c r="A164" s="2">
        <v>163</v>
      </c>
      <c r="B164" s="2">
        <v>2298.83</v>
      </c>
    </row>
    <row r="165" spans="1:2" x14ac:dyDescent="0.35">
      <c r="A165" s="2">
        <v>164</v>
      </c>
      <c r="B165" s="2">
        <v>3237.81</v>
      </c>
    </row>
    <row r="166" spans="1:2" x14ac:dyDescent="0.35">
      <c r="A166" s="2">
        <v>165</v>
      </c>
      <c r="B166" s="2">
        <v>5775.12</v>
      </c>
    </row>
    <row r="167" spans="1:2" x14ac:dyDescent="0.35">
      <c r="A167" s="2">
        <v>166</v>
      </c>
      <c r="B167" s="2">
        <v>6404.77</v>
      </c>
    </row>
    <row r="168" spans="1:2" x14ac:dyDescent="0.35">
      <c r="A168" s="2">
        <v>167</v>
      </c>
      <c r="B168" s="2">
        <v>4648.38</v>
      </c>
    </row>
    <row r="169" spans="1:2" x14ac:dyDescent="0.35">
      <c r="A169" s="2">
        <v>168</v>
      </c>
      <c r="B169" s="2">
        <v>5057.9399999999996</v>
      </c>
    </row>
    <row r="170" spans="1:2" x14ac:dyDescent="0.35">
      <c r="A170" s="2">
        <v>169</v>
      </c>
      <c r="B170" s="2">
        <v>3884.24</v>
      </c>
    </row>
    <row r="171" spans="1:2" x14ac:dyDescent="0.35">
      <c r="A171" s="2">
        <v>170</v>
      </c>
      <c r="B171" s="2">
        <v>4850.41</v>
      </c>
    </row>
    <row r="172" spans="1:2" x14ac:dyDescent="0.35">
      <c r="A172" s="2">
        <v>171</v>
      </c>
      <c r="B172" s="2">
        <v>3393.41</v>
      </c>
    </row>
    <row r="173" spans="1:2" x14ac:dyDescent="0.35">
      <c r="A173" s="2">
        <v>172</v>
      </c>
      <c r="B173" s="2">
        <v>3948.85</v>
      </c>
    </row>
    <row r="174" spans="1:2" x14ac:dyDescent="0.35">
      <c r="A174" s="2">
        <v>173</v>
      </c>
      <c r="B174" s="2">
        <v>4183.8999999999996</v>
      </c>
    </row>
    <row r="175" spans="1:2" x14ac:dyDescent="0.35">
      <c r="A175" s="2">
        <v>174</v>
      </c>
      <c r="B175" s="2">
        <v>3296.21</v>
      </c>
    </row>
    <row r="176" spans="1:2" x14ac:dyDescent="0.35">
      <c r="A176" s="2">
        <v>175</v>
      </c>
      <c r="B176" s="2">
        <v>5417.39</v>
      </c>
    </row>
    <row r="177" spans="1:2" x14ac:dyDescent="0.35">
      <c r="A177" s="2">
        <v>176</v>
      </c>
      <c r="B177" s="2">
        <v>3503.79</v>
      </c>
    </row>
    <row r="178" spans="1:2" x14ac:dyDescent="0.35">
      <c r="A178" s="2">
        <v>177</v>
      </c>
      <c r="B178" s="2">
        <v>3156.75</v>
      </c>
    </row>
    <row r="179" spans="1:2" x14ac:dyDescent="0.35">
      <c r="A179" s="2">
        <v>178</v>
      </c>
      <c r="B179" s="2">
        <v>4152.92</v>
      </c>
    </row>
    <row r="180" spans="1:2" x14ac:dyDescent="0.35">
      <c r="A180" s="2">
        <v>179</v>
      </c>
      <c r="B180" s="2">
        <v>3482.37</v>
      </c>
    </row>
    <row r="181" spans="1:2" x14ac:dyDescent="0.35">
      <c r="A181" s="2">
        <v>180</v>
      </c>
      <c r="B181" s="2">
        <v>3140.37</v>
      </c>
    </row>
    <row r="182" spans="1:2" x14ac:dyDescent="0.35">
      <c r="A182" s="2">
        <v>181</v>
      </c>
      <c r="B182" s="2">
        <v>2162.2600000000002</v>
      </c>
    </row>
    <row r="183" spans="1:2" x14ac:dyDescent="0.35">
      <c r="A183" s="2">
        <v>182</v>
      </c>
      <c r="B183" s="2">
        <v>2133.19</v>
      </c>
    </row>
    <row r="184" spans="1:2" x14ac:dyDescent="0.35">
      <c r="A184" s="2">
        <v>183</v>
      </c>
      <c r="B184" s="2">
        <v>3332.39</v>
      </c>
    </row>
    <row r="185" spans="1:2" x14ac:dyDescent="0.35">
      <c r="A185" s="2">
        <v>184</v>
      </c>
      <c r="B185" s="2">
        <v>1956.25</v>
      </c>
    </row>
    <row r="186" spans="1:2" x14ac:dyDescent="0.35">
      <c r="A186" s="2">
        <v>185</v>
      </c>
      <c r="B186" s="2">
        <v>5157.74</v>
      </c>
    </row>
    <row r="187" spans="1:2" x14ac:dyDescent="0.35">
      <c r="A187" s="2">
        <v>186</v>
      </c>
      <c r="B187" s="2">
        <v>3918.09</v>
      </c>
    </row>
    <row r="188" spans="1:2" x14ac:dyDescent="0.35">
      <c r="A188" s="2">
        <v>187</v>
      </c>
      <c r="B188" s="2">
        <v>2891.61</v>
      </c>
    </row>
    <row r="189" spans="1:2" x14ac:dyDescent="0.35">
      <c r="A189" s="2">
        <v>188</v>
      </c>
      <c r="B189" s="2">
        <v>3440.81</v>
      </c>
    </row>
    <row r="190" spans="1:2" x14ac:dyDescent="0.35">
      <c r="A190" s="2">
        <v>189</v>
      </c>
      <c r="B190" s="2">
        <v>5975.21</v>
      </c>
    </row>
    <row r="191" spans="1:2" x14ac:dyDescent="0.35">
      <c r="A191" s="2">
        <v>190</v>
      </c>
      <c r="B191" s="2">
        <v>3564.1</v>
      </c>
    </row>
    <row r="192" spans="1:2" x14ac:dyDescent="0.35">
      <c r="A192" s="2">
        <v>191</v>
      </c>
      <c r="B192" s="2">
        <v>4145.9799999999996</v>
      </c>
    </row>
    <row r="193" spans="1:2" x14ac:dyDescent="0.35">
      <c r="A193" s="2">
        <v>192</v>
      </c>
      <c r="B193" s="2">
        <v>4704.18</v>
      </c>
    </row>
    <row r="194" spans="1:2" x14ac:dyDescent="0.35">
      <c r="A194" s="2">
        <v>193</v>
      </c>
      <c r="B194" s="2">
        <v>3934.39</v>
      </c>
    </row>
    <row r="195" spans="1:2" x14ac:dyDescent="0.35">
      <c r="A195" s="2">
        <v>194</v>
      </c>
      <c r="B195" s="2">
        <v>3944.44</v>
      </c>
    </row>
    <row r="196" spans="1:2" x14ac:dyDescent="0.35">
      <c r="A196" s="2">
        <v>195</v>
      </c>
      <c r="B196" s="2">
        <v>3807.03</v>
      </c>
    </row>
    <row r="197" spans="1:2" x14ac:dyDescent="0.35">
      <c r="A197" s="2">
        <v>196</v>
      </c>
      <c r="B197" s="2">
        <v>4723.67</v>
      </c>
    </row>
    <row r="198" spans="1:2" x14ac:dyDescent="0.35">
      <c r="A198" s="2">
        <v>197</v>
      </c>
      <c r="B198" s="2">
        <v>3592.39</v>
      </c>
    </row>
    <row r="199" spans="1:2" x14ac:dyDescent="0.35">
      <c r="A199" s="2">
        <v>198</v>
      </c>
      <c r="B199" s="2">
        <v>4640.97</v>
      </c>
    </row>
    <row r="200" spans="1:2" x14ac:dyDescent="0.35">
      <c r="A200" s="2">
        <v>199</v>
      </c>
      <c r="B200" s="2">
        <v>3701.7</v>
      </c>
    </row>
    <row r="201" spans="1:2" x14ac:dyDescent="0.35">
      <c r="A201" s="2">
        <v>200</v>
      </c>
      <c r="B201" s="2">
        <v>4059.77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tabSelected="1" workbookViewId="0">
      <selection activeCell="C10" sqref="C10"/>
    </sheetView>
  </sheetViews>
  <sheetFormatPr baseColWidth="10" defaultColWidth="8.7265625" defaultRowHeight="14.5" x14ac:dyDescent="0.35"/>
  <cols>
    <col min="1" max="1" width="22" customWidth="1"/>
    <col min="2" max="2" width="50" customWidth="1"/>
    <col min="3" max="3" width="14" customWidth="1"/>
  </cols>
  <sheetData>
    <row r="1" spans="1:3" x14ac:dyDescent="0.35">
      <c r="A1" s="3" t="s">
        <v>2</v>
      </c>
      <c r="B1" s="3" t="s">
        <v>3</v>
      </c>
      <c r="C1" s="3" t="s">
        <v>4</v>
      </c>
    </row>
    <row r="2" spans="1:3" x14ac:dyDescent="0.35">
      <c r="A2" s="2" t="s">
        <v>5</v>
      </c>
      <c r="B2" s="2">
        <f>AVERAGE(Datos_Financiero!B2:B201)</f>
        <v>3702.7458999999999</v>
      </c>
      <c r="C2" s="2"/>
    </row>
    <row r="3" spans="1:3" x14ac:dyDescent="0.35">
      <c r="A3" s="2" t="s">
        <v>6</v>
      </c>
      <c r="B3" s="2">
        <f>_xlfn.STDEV.S(Datos_Financiero!B2:B201)</f>
        <v>1176.2553744479876</v>
      </c>
      <c r="C3" s="2"/>
    </row>
    <row r="4" spans="1:3" x14ac:dyDescent="0.35">
      <c r="A4" s="2" t="s">
        <v>7</v>
      </c>
      <c r="B4" s="2">
        <f>COUNT(Datos_Financiero!B2:B201)</f>
        <v>200</v>
      </c>
      <c r="C4" s="2"/>
    </row>
    <row r="5" spans="1:3" x14ac:dyDescent="0.35">
      <c r="A5" s="2" t="s">
        <v>8</v>
      </c>
      <c r="B5" s="2">
        <f>B3/SQRT(B4)</f>
        <v>83.173815167929362</v>
      </c>
      <c r="C5" s="2"/>
    </row>
    <row r="6" spans="1:3" x14ac:dyDescent="0.35">
      <c r="A6" s="2" t="s">
        <v>9</v>
      </c>
      <c r="B6" s="2">
        <f>_xlfn.T.INV.2T(0.05,B4-1)</f>
        <v>1.9719565442517553</v>
      </c>
      <c r="C6" s="2"/>
    </row>
    <row r="7" spans="1:3" x14ac:dyDescent="0.35">
      <c r="A7" s="2" t="s">
        <v>10</v>
      </c>
      <c r="B7" s="2">
        <f>B5*B6</f>
        <v>164.01514913078421</v>
      </c>
      <c r="C7" s="2"/>
    </row>
    <row r="8" spans="1:3" x14ac:dyDescent="0.35">
      <c r="A8" s="2" t="s">
        <v>11</v>
      </c>
      <c r="B8" s="2">
        <f>B2-B7</f>
        <v>3538.7307508692156</v>
      </c>
      <c r="C8" s="2"/>
    </row>
    <row r="9" spans="1:3" x14ac:dyDescent="0.35">
      <c r="A9" s="2" t="s">
        <v>12</v>
      </c>
      <c r="B9" s="2">
        <f>B2+B7</f>
        <v>3866.7610491307842</v>
      </c>
      <c r="C9" s="2"/>
    </row>
    <row r="10" spans="1:3" x14ac:dyDescent="0.35">
      <c r="A10" s="2"/>
      <c r="B10" s="2"/>
      <c r="C10" s="2"/>
    </row>
    <row r="11" spans="1:3" x14ac:dyDescent="0.35">
      <c r="A11" s="2" t="s">
        <v>13</v>
      </c>
      <c r="B11" s="2">
        <f>_xlfn.T.INV.2T(0.1,B4-1)</f>
        <v>1.6525467461665586</v>
      </c>
      <c r="C11" s="2"/>
    </row>
    <row r="12" spans="1:3" x14ac:dyDescent="0.35">
      <c r="A12" s="2" t="s">
        <v>14</v>
      </c>
      <c r="B12" s="2">
        <f>B5*B11</f>
        <v>137.44861762202044</v>
      </c>
      <c r="C12" s="2"/>
    </row>
    <row r="13" spans="1:3" x14ac:dyDescent="0.35">
      <c r="A13" s="2" t="s">
        <v>15</v>
      </c>
      <c r="B13" s="2">
        <f>B2-B12</f>
        <v>3565.2972823779796</v>
      </c>
      <c r="C13" s="2"/>
    </row>
    <row r="14" spans="1:3" x14ac:dyDescent="0.35">
      <c r="A14" s="2" t="s">
        <v>16</v>
      </c>
      <c r="B14" s="2">
        <f>B2+B12</f>
        <v>3840.1945176220202</v>
      </c>
      <c r="C14" s="2"/>
    </row>
    <row r="15" spans="1:3" x14ac:dyDescent="0.35">
      <c r="A15" s="2"/>
      <c r="B15" s="2"/>
      <c r="C15" s="2"/>
    </row>
    <row r="16" spans="1:3" x14ac:dyDescent="0.35">
      <c r="A16" s="2" t="s">
        <v>17</v>
      </c>
      <c r="B16" s="2">
        <f>_xlfn.T.INV.2T(0.01,B4-1)</f>
        <v>2.6007602160585179</v>
      </c>
      <c r="C16" s="2"/>
    </row>
    <row r="17" spans="1:3" x14ac:dyDescent="0.35">
      <c r="A17" s="2" t="s">
        <v>18</v>
      </c>
      <c r="B17" s="2">
        <f>B5*B16</f>
        <v>216.3151495065552</v>
      </c>
      <c r="C17" s="2"/>
    </row>
    <row r="18" spans="1:3" x14ac:dyDescent="0.35">
      <c r="A18" s="2" t="s">
        <v>19</v>
      </c>
      <c r="B18" s="2">
        <f>B2-B17</f>
        <v>3486.4307504934445</v>
      </c>
      <c r="C18" s="2"/>
    </row>
    <row r="19" spans="1:3" x14ac:dyDescent="0.35">
      <c r="A19" s="2" t="s">
        <v>20</v>
      </c>
      <c r="B19" s="2">
        <f>B2+B17</f>
        <v>3919.0610495065553</v>
      </c>
      <c r="C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Datos_Financiero</vt:lpstr>
      <vt:lpstr>Calculo_IC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Hurtado</cp:lastModifiedBy>
  <dcterms:created xsi:type="dcterms:W3CDTF">2026-09-16T02:56:35Z</dcterms:created>
  <dcterms:modified xsi:type="dcterms:W3CDTF">2026-09-16T21:15:47Z</dcterms:modified>
</cp:coreProperties>
</file>